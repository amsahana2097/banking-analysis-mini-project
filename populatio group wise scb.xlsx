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ae750ea9612b669/Documents/"/>
    </mc:Choice>
  </mc:AlternateContent>
  <xr:revisionPtr revIDLastSave="531" documentId="8_{9D7FB1B1-396C-45AC-A624-6ED3A4CED548}" xr6:coauthVersionLast="47" xr6:coauthVersionMax="47" xr10:uidLastSave="{48008F23-BAD0-4E31-B10D-D182E712755C}"/>
  <bookViews>
    <workbookView xWindow="-108" yWindow="-108" windowWidth="23256" windowHeight="12456" firstSheet="1" activeTab="5" xr2:uid="{7E00EFEB-AA9F-4669-9369-08FE98885383}"/>
  </bookViews>
  <sheets>
    <sheet name="Population-group  Wise Deposits" sheetId="2" r:id="rId1"/>
    <sheet name="State_DIM" sheetId="1" r:id="rId2"/>
    <sheet name="District_DIM" sheetId="3" r:id="rId3"/>
    <sheet name="Analysis Toolpak" sheetId="4" r:id="rId4"/>
    <sheet name="Descriptive_Statistics" sheetId="5" r:id="rId5"/>
    <sheet name="Pivot Charts" sheetId="6" r:id="rId6"/>
  </sheets>
  <definedNames>
    <definedName name="_xlcn.WorksheetConnection_populatiogroupwisescb.xlsxTable21" hidden="1">DIM_STATE[]</definedName>
    <definedName name="_xlcn.WorksheetConnection_populatiogroupwisescb.xlsxTable31" hidden="1">DIM_DISTRICT[]</definedName>
    <definedName name="_xlcn.WorksheetConnection_Population_group__Wise_Deposits_Sample_Data__11" hidden="1">Population_group__Wise_Deposits_Sample_Data__1[]</definedName>
    <definedName name="ExternalData_1" localSheetId="0" hidden="1">'Population-group  Wise Deposits'!$A$1:$J$501</definedName>
  </definedNames>
  <calcPr calcId="191028"/>
  <pivotCaches>
    <pivotCache cacheId="15" r:id="rId7"/>
    <pivotCache cacheId="18" r:id="rId8"/>
    <pivotCache cacheId="2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pulation_group__Wise_Deposits_Sample_Data__1" name="Population_group__Wise_Deposits_Sample_Data__1" connection="WorksheetConnection_Population_group__Wise_Deposits_Sample_Data__1"/>
          <x15:modelTable id="Table2" name="State_DIM" connection="WorksheetConnection_populatio group wise scb.xlsx!Table2"/>
          <x15:modelTable id="Table3" name="District_DIM" connection="WorksheetConnection_populatio group wise scb.xlsx!Table3"/>
        </x15:modelTables>
        <x15:modelRelationships>
          <x15:modelRelationship fromTable="Population_group__Wise_Deposits_Sample_Data__1" fromColumn="State Code" toTable="State_DIM" toColumn="State Code"/>
          <x15:modelRelationship fromTable="Population_group__Wise_Deposits_Sample_Data__1" fromColumn="District Code" toTable="District_DIM" toColumn="District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/>
  <c r="N385" i="2"/>
  <c r="N2" i="2"/>
  <c r="N123" i="2"/>
  <c r="N386" i="2"/>
  <c r="N3" i="2"/>
  <c r="N124" i="2"/>
  <c r="N262" i="2"/>
  <c r="N125" i="2"/>
  <c r="N387" i="2"/>
  <c r="N126" i="2"/>
  <c r="N127" i="2"/>
  <c r="N263" i="2"/>
  <c r="N4" i="2"/>
  <c r="N264" i="2"/>
  <c r="N388" i="2"/>
  <c r="N128" i="2"/>
  <c r="N5" i="2"/>
  <c r="N6" i="2"/>
  <c r="N265" i="2"/>
  <c r="N129" i="2"/>
  <c r="N266" i="2"/>
  <c r="N389" i="2"/>
  <c r="N130" i="2"/>
  <c r="N7" i="2"/>
  <c r="N267" i="2"/>
  <c r="N131" i="2"/>
  <c r="N390" i="2"/>
  <c r="N268" i="2"/>
  <c r="N391" i="2"/>
  <c r="N132" i="2"/>
  <c r="N392" i="2"/>
  <c r="N269" i="2"/>
  <c r="N8" i="2"/>
  <c r="N393" i="2"/>
  <c r="N394" i="2"/>
  <c r="N133" i="2"/>
  <c r="N9" i="2"/>
  <c r="N10" i="2"/>
  <c r="N395" i="2"/>
  <c r="N396" i="2"/>
  <c r="N11" i="2"/>
  <c r="N270" i="2"/>
  <c r="N271" i="2"/>
  <c r="N134" i="2"/>
  <c r="N272" i="2"/>
  <c r="N273" i="2"/>
  <c r="N12" i="2"/>
  <c r="N135" i="2"/>
  <c r="N13" i="2"/>
  <c r="N14" i="2"/>
  <c r="N136" i="2"/>
  <c r="N137" i="2"/>
  <c r="N274" i="2"/>
  <c r="N15" i="2"/>
  <c r="N397" i="2"/>
  <c r="N16" i="2"/>
  <c r="N138" i="2"/>
  <c r="N398" i="2"/>
  <c r="N139" i="2"/>
  <c r="N17" i="2"/>
  <c r="N140" i="2"/>
  <c r="N399" i="2"/>
  <c r="N275" i="2"/>
  <c r="N400" i="2"/>
  <c r="N18" i="2"/>
  <c r="N141" i="2"/>
  <c r="N142" i="2"/>
  <c r="N19" i="2"/>
  <c r="N143" i="2"/>
  <c r="N144" i="2"/>
  <c r="N401" i="2"/>
  <c r="N20" i="2"/>
  <c r="N21" i="2"/>
  <c r="N145" i="2"/>
  <c r="N402" i="2"/>
  <c r="N403" i="2"/>
  <c r="N146" i="2"/>
  <c r="N22" i="2"/>
  <c r="N404" i="2"/>
  <c r="N147" i="2"/>
  <c r="N405" i="2"/>
  <c r="N276" i="2"/>
  <c r="N277" i="2"/>
  <c r="N278" i="2"/>
  <c r="N23" i="2"/>
  <c r="N148" i="2"/>
  <c r="N149" i="2"/>
  <c r="N406" i="2"/>
  <c r="N279" i="2"/>
  <c r="N150" i="2"/>
  <c r="N407" i="2"/>
  <c r="N408" i="2"/>
  <c r="N409" i="2"/>
  <c r="N410" i="2"/>
  <c r="N411" i="2"/>
  <c r="N412" i="2"/>
  <c r="N151" i="2"/>
  <c r="N413" i="2"/>
  <c r="N152" i="2"/>
  <c r="N414" i="2"/>
  <c r="N280" i="2"/>
  <c r="N24" i="2"/>
  <c r="N153" i="2"/>
  <c r="N25" i="2"/>
  <c r="N154" i="2"/>
  <c r="N281" i="2"/>
  <c r="N155" i="2"/>
  <c r="N26" i="2"/>
  <c r="N27" i="2"/>
  <c r="N28" i="2"/>
  <c r="N415" i="2"/>
  <c r="N29" i="2"/>
  <c r="N416" i="2"/>
  <c r="N282" i="2"/>
  <c r="N283" i="2"/>
  <c r="N284" i="2"/>
  <c r="N285" i="2"/>
  <c r="N286" i="2"/>
  <c r="N156" i="2"/>
  <c r="N417" i="2"/>
  <c r="N157" i="2"/>
  <c r="N30" i="2"/>
  <c r="N158" i="2"/>
  <c r="N418" i="2"/>
  <c r="N419" i="2"/>
  <c r="N159" i="2"/>
  <c r="N31" i="2"/>
  <c r="N160" i="2"/>
  <c r="N32" i="2"/>
  <c r="N287" i="2"/>
  <c r="N288" i="2"/>
  <c r="N33" i="2"/>
  <c r="N34" i="2"/>
  <c r="N35" i="2"/>
  <c r="N36" i="2"/>
  <c r="N161" i="2"/>
  <c r="N162" i="2"/>
  <c r="N163" i="2"/>
  <c r="N289" i="2"/>
  <c r="N290" i="2"/>
  <c r="N164" i="2"/>
  <c r="N291" i="2"/>
  <c r="N37" i="2"/>
  <c r="N420" i="2"/>
  <c r="N38" i="2"/>
  <c r="N165" i="2"/>
  <c r="N39" i="2"/>
  <c r="N292" i="2"/>
  <c r="N166" i="2"/>
  <c r="N293" i="2"/>
  <c r="N294" i="2"/>
  <c r="N295" i="2"/>
  <c r="N421" i="2"/>
  <c r="N422" i="2"/>
  <c r="N296" i="2"/>
  <c r="N167" i="2"/>
  <c r="N168" i="2"/>
  <c r="N40" i="2"/>
  <c r="N169" i="2"/>
  <c r="N170" i="2"/>
  <c r="N297" i="2"/>
  <c r="N423" i="2"/>
  <c r="N298" i="2"/>
  <c r="N299" i="2"/>
  <c r="N424" i="2"/>
  <c r="N425" i="2"/>
  <c r="N171" i="2"/>
  <c r="N41" i="2"/>
  <c r="N300" i="2"/>
  <c r="N172" i="2"/>
  <c r="N301" i="2"/>
  <c r="N173" i="2"/>
  <c r="N174" i="2"/>
  <c r="N302" i="2"/>
  <c r="N42" i="2"/>
  <c r="N175" i="2"/>
  <c r="N43" i="2"/>
  <c r="N303" i="2"/>
  <c r="N44" i="2"/>
  <c r="N176" i="2"/>
  <c r="N304" i="2"/>
  <c r="N45" i="2"/>
  <c r="N426" i="2"/>
  <c r="N305" i="2"/>
  <c r="N177" i="2"/>
  <c r="N46" i="2"/>
  <c r="N427" i="2"/>
  <c r="N428" i="2"/>
  <c r="N306" i="2"/>
  <c r="N47" i="2"/>
  <c r="N429" i="2"/>
  <c r="N178" i="2"/>
  <c r="N179" i="2"/>
  <c r="N48" i="2"/>
  <c r="N307" i="2"/>
  <c r="N430" i="2"/>
  <c r="N180" i="2"/>
  <c r="N181" i="2"/>
  <c r="N431" i="2"/>
  <c r="N182" i="2"/>
  <c r="N183" i="2"/>
  <c r="N49" i="2"/>
  <c r="N432" i="2"/>
  <c r="N50" i="2"/>
  <c r="N308" i="2"/>
  <c r="N309" i="2"/>
  <c r="N184" i="2"/>
  <c r="N433" i="2"/>
  <c r="N185" i="2"/>
  <c r="N310" i="2"/>
  <c r="N311" i="2"/>
  <c r="N51" i="2"/>
  <c r="N52" i="2"/>
  <c r="N312" i="2"/>
  <c r="N53" i="2"/>
  <c r="N186" i="2"/>
  <c r="N313" i="2"/>
  <c r="N434" i="2"/>
  <c r="N435" i="2"/>
  <c r="N187" i="2"/>
  <c r="N436" i="2"/>
  <c r="N188" i="2"/>
  <c r="N437" i="2"/>
  <c r="N438" i="2"/>
  <c r="N439" i="2"/>
  <c r="N314" i="2"/>
  <c r="N315" i="2"/>
  <c r="N440" i="2"/>
  <c r="N316" i="2"/>
  <c r="N441" i="2"/>
  <c r="N54" i="2"/>
  <c r="N317" i="2"/>
  <c r="N318" i="2"/>
  <c r="N189" i="2"/>
  <c r="N55" i="2"/>
  <c r="N319" i="2"/>
  <c r="N442" i="2"/>
  <c r="N56" i="2"/>
  <c r="N57" i="2"/>
  <c r="N443" i="2"/>
  <c r="N320" i="2"/>
  <c r="N58" i="2"/>
  <c r="N190" i="2"/>
  <c r="N191" i="2"/>
  <c r="N321" i="2"/>
  <c r="N322" i="2"/>
  <c r="N444" i="2"/>
  <c r="N445" i="2"/>
  <c r="N446" i="2"/>
  <c r="N323" i="2"/>
  <c r="N324" i="2"/>
  <c r="N192" i="2"/>
  <c r="N447" i="2"/>
  <c r="N325" i="2"/>
  <c r="N448" i="2"/>
  <c r="N193" i="2"/>
  <c r="N194" i="2"/>
  <c r="N326" i="2"/>
  <c r="N59" i="2"/>
  <c r="N327" i="2"/>
  <c r="N60" i="2"/>
  <c r="N328" i="2"/>
  <c r="N329" i="2"/>
  <c r="N195" i="2"/>
  <c r="N330" i="2"/>
  <c r="N196" i="2"/>
  <c r="N331" i="2"/>
  <c r="N332" i="2"/>
  <c r="N61" i="2"/>
  <c r="N197" i="2"/>
  <c r="N333" i="2"/>
  <c r="N62" i="2"/>
  <c r="N198" i="2"/>
  <c r="N449" i="2"/>
  <c r="N199" i="2"/>
  <c r="N63" i="2"/>
  <c r="N450" i="2"/>
  <c r="N451" i="2"/>
  <c r="N334" i="2"/>
  <c r="N335" i="2"/>
  <c r="N200" i="2"/>
  <c r="N452" i="2"/>
  <c r="N336" i="2"/>
  <c r="N337" i="2"/>
  <c r="N201" i="2"/>
  <c r="N338" i="2"/>
  <c r="N64" i="2"/>
  <c r="N453" i="2"/>
  <c r="N339" i="2"/>
  <c r="N340" i="2"/>
  <c r="N341" i="2"/>
  <c r="N202" i="2"/>
  <c r="N65" i="2"/>
  <c r="N454" i="2"/>
  <c r="N66" i="2"/>
  <c r="N342" i="2"/>
  <c r="N455" i="2"/>
  <c r="N203" i="2"/>
  <c r="N456" i="2"/>
  <c r="N67" i="2"/>
  <c r="N457" i="2"/>
  <c r="N458" i="2"/>
  <c r="N343" i="2"/>
  <c r="N204" i="2"/>
  <c r="N344" i="2"/>
  <c r="N459" i="2"/>
  <c r="N205" i="2"/>
  <c r="N345" i="2"/>
  <c r="N346" i="2"/>
  <c r="N206" i="2"/>
  <c r="N460" i="2"/>
  <c r="N347" i="2"/>
  <c r="N348" i="2"/>
  <c r="N461" i="2"/>
  <c r="N68" i="2"/>
  <c r="N462" i="2"/>
  <c r="N69" i="2"/>
  <c r="N70" i="2"/>
  <c r="N207" i="2"/>
  <c r="N208" i="2"/>
  <c r="N349" i="2"/>
  <c r="N463" i="2"/>
  <c r="N209" i="2"/>
  <c r="N210" i="2"/>
  <c r="N350" i="2"/>
  <c r="N211" i="2"/>
  <c r="N212" i="2"/>
  <c r="N351" i="2"/>
  <c r="N464" i="2"/>
  <c r="N213" i="2"/>
  <c r="N352" i="2"/>
  <c r="N71" i="2"/>
  <c r="N353" i="2"/>
  <c r="N72" i="2"/>
  <c r="N73" i="2"/>
  <c r="N354" i="2"/>
  <c r="N74" i="2"/>
  <c r="N355" i="2"/>
  <c r="N465" i="2"/>
  <c r="N214" i="2"/>
  <c r="N356" i="2"/>
  <c r="N215" i="2"/>
  <c r="N466" i="2"/>
  <c r="N75" i="2"/>
  <c r="N76" i="2"/>
  <c r="N216" i="2"/>
  <c r="N467" i="2"/>
  <c r="N468" i="2"/>
  <c r="N357" i="2"/>
  <c r="N77" i="2"/>
  <c r="N217" i="2"/>
  <c r="N218" i="2"/>
  <c r="N78" i="2"/>
  <c r="N469" i="2"/>
  <c r="N219" i="2"/>
  <c r="N220" i="2"/>
  <c r="N79" i="2"/>
  <c r="N470" i="2"/>
  <c r="N221" i="2"/>
  <c r="N222" i="2"/>
  <c r="N471" i="2"/>
  <c r="N223" i="2"/>
  <c r="N80" i="2"/>
  <c r="N472" i="2"/>
  <c r="N473" i="2"/>
  <c r="N224" i="2"/>
  <c r="N358" i="2"/>
  <c r="N359" i="2"/>
  <c r="N474" i="2"/>
  <c r="N225" i="2"/>
  <c r="N81" i="2"/>
  <c r="N82" i="2"/>
  <c r="N226" i="2"/>
  <c r="N475" i="2"/>
  <c r="N227" i="2"/>
  <c r="N83" i="2"/>
  <c r="N84" i="2"/>
  <c r="N228" i="2"/>
  <c r="N476" i="2"/>
  <c r="N229" i="2"/>
  <c r="N230" i="2"/>
  <c r="N477" i="2"/>
  <c r="N85" i="2"/>
  <c r="N86" i="2"/>
  <c r="N87" i="2"/>
  <c r="N88" i="2"/>
  <c r="N231" i="2"/>
  <c r="N232" i="2"/>
  <c r="N478" i="2"/>
  <c r="N89" i="2"/>
  <c r="N90" i="2"/>
  <c r="N479" i="2"/>
  <c r="N360" i="2"/>
  <c r="N91" i="2"/>
  <c r="N361" i="2"/>
  <c r="N92" i="2"/>
  <c r="N480" i="2"/>
  <c r="N93" i="2"/>
  <c r="N362" i="2"/>
  <c r="N233" i="2"/>
  <c r="N234" i="2"/>
  <c r="N235" i="2"/>
  <c r="N236" i="2"/>
  <c r="N481" i="2"/>
  <c r="N363" i="2"/>
  <c r="N94" i="2"/>
  <c r="N482" i="2"/>
  <c r="N364" i="2"/>
  <c r="N365" i="2"/>
  <c r="N237" i="2"/>
  <c r="N238" i="2"/>
  <c r="N483" i="2"/>
  <c r="N95" i="2"/>
  <c r="N239" i="2"/>
  <c r="N484" i="2"/>
  <c r="N96" i="2"/>
  <c r="N366" i="2"/>
  <c r="N97" i="2"/>
  <c r="N98" i="2"/>
  <c r="N99" i="2"/>
  <c r="N100" i="2"/>
  <c r="N485" i="2"/>
  <c r="N101" i="2"/>
  <c r="N486" i="2"/>
  <c r="N102" i="2"/>
  <c r="N367" i="2"/>
  <c r="N368" i="2"/>
  <c r="N103" i="2"/>
  <c r="N487" i="2"/>
  <c r="N240" i="2"/>
  <c r="N241" i="2"/>
  <c r="N242" i="2"/>
  <c r="N243" i="2"/>
  <c r="N104" i="2"/>
  <c r="N488" i="2"/>
  <c r="N105" i="2"/>
  <c r="N106" i="2"/>
  <c r="N489" i="2"/>
  <c r="N107" i="2"/>
  <c r="N244" i="2"/>
  <c r="N490" i="2"/>
  <c r="N108" i="2"/>
  <c r="N245" i="2"/>
  <c r="N369" i="2"/>
  <c r="N109" i="2"/>
  <c r="N246" i="2"/>
  <c r="N370" i="2"/>
  <c r="N371" i="2"/>
  <c r="N110" i="2"/>
  <c r="N372" i="2"/>
  <c r="N491" i="2"/>
  <c r="N247" i="2"/>
  <c r="N492" i="2"/>
  <c r="N248" i="2"/>
  <c r="N249" i="2"/>
  <c r="N250" i="2"/>
  <c r="N373" i="2"/>
  <c r="N111" i="2"/>
  <c r="N374" i="2"/>
  <c r="N112" i="2"/>
  <c r="N113" i="2"/>
  <c r="N114" i="2"/>
  <c r="N251" i="2"/>
  <c r="N493" i="2"/>
  <c r="N494" i="2"/>
  <c r="N252" i="2"/>
  <c r="N115" i="2"/>
  <c r="N253" i="2"/>
  <c r="N375" i="2"/>
  <c r="N495" i="2"/>
  <c r="N376" i="2"/>
  <c r="N496" i="2"/>
  <c r="N377" i="2"/>
  <c r="N497" i="2"/>
  <c r="N116" i="2"/>
  <c r="N378" i="2"/>
  <c r="N254" i="2"/>
  <c r="N379" i="2"/>
  <c r="N255" i="2"/>
  <c r="N498" i="2"/>
  <c r="N380" i="2"/>
  <c r="N256" i="2"/>
  <c r="N257" i="2"/>
  <c r="N499" i="2"/>
  <c r="N258" i="2"/>
  <c r="N117" i="2"/>
  <c r="N259" i="2"/>
  <c r="N381" i="2"/>
  <c r="N382" i="2"/>
  <c r="N383" i="2"/>
  <c r="N118" i="2"/>
  <c r="N119" i="2"/>
  <c r="N120" i="2"/>
  <c r="N121" i="2"/>
  <c r="N260" i="2"/>
  <c r="N500" i="2"/>
  <c r="N261" i="2"/>
  <c r="N501" i="2"/>
  <c r="N122" i="2"/>
  <c r="N3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661B9B-C27F-4218-B63C-52D4034814AE}" keepAlive="1" name="Query - Population-group  Wise Deposits_Sample_Data (1)" description="Connection to the 'Population-group  Wise Deposits_Sample_Data (1)' query in the workbook." type="5" refreshedVersion="8" background="1" saveData="1">
    <dbPr connection="Provider=Microsoft.Mashup.OleDb.1;Data Source=$Workbook$;Location=&quot;Population-group  Wise Deposits_Sample_Data (1)&quot;;Extended Properties=&quot;&quot;" command="SELECT * FROM [Population-group  Wise Deposits_Sample_Data (1)]"/>
  </connection>
  <connection id="2" xr16:uid="{8EEA3F1E-2F53-4FB9-A041-8D489617FD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8326DF1-E283-42D1-BB95-B3D7CBD49878}" name="WorksheetConnection_populatio group wise scb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populatiogroupwisescb.xlsxTable21"/>
        </x15:connection>
      </ext>
    </extLst>
  </connection>
  <connection id="4" xr16:uid="{819953FA-5653-4789-BACD-0C01D8CDE475}" name="WorksheetConnection_populatio group wise scb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populatiogroupwisescb.xlsxTable31"/>
        </x15:connection>
      </ext>
    </extLst>
  </connection>
  <connection id="5" xr16:uid="{B535F990-903C-4CF5-94FF-EFA13A17F70F}" name="WorksheetConnection_Population_group__Wise_Deposits_Sample_Data__1" type="102" refreshedVersion="8" minRefreshableVersion="5">
    <extLst>
      <ext xmlns:x15="http://schemas.microsoft.com/office/spreadsheetml/2010/11/main" uri="{DE250136-89BD-433C-8126-D09CA5730AF9}">
        <x15:connection id="Population_group__Wise_Deposits_Sample_Data__1">
          <x15:rangePr sourceName="_xlcn.WorksheetConnection_Population_group__Wise_Deposits_Sample_Data__11"/>
        </x15:connection>
      </ext>
    </extLst>
  </connection>
</connections>
</file>

<file path=xl/sharedStrings.xml><?xml version="1.0" encoding="utf-8"?>
<sst xmlns="http://schemas.openxmlformats.org/spreadsheetml/2006/main" count="2901" uniqueCount="440">
  <si>
    <t>Uttar Pradesh</t>
  </si>
  <si>
    <t>Banda</t>
  </si>
  <si>
    <t>Central Region</t>
  </si>
  <si>
    <t>Semi-urban</t>
  </si>
  <si>
    <t>Bihar</t>
  </si>
  <si>
    <t>Kishanganj</t>
  </si>
  <si>
    <t>Eastern Region</t>
  </si>
  <si>
    <t>Tamil Nadu</t>
  </si>
  <si>
    <t>Kallakurichi</t>
  </si>
  <si>
    <t>Southern Region</t>
  </si>
  <si>
    <t>Assam</t>
  </si>
  <si>
    <t>Sivasagar</t>
  </si>
  <si>
    <t>North Eastern Region</t>
  </si>
  <si>
    <t>Rural</t>
  </si>
  <si>
    <t>Odisha</t>
  </si>
  <si>
    <t>Baleshwar</t>
  </si>
  <si>
    <t>Kanpur Nagar</t>
  </si>
  <si>
    <t>Metropolitan</t>
  </si>
  <si>
    <t>Delhi</t>
  </si>
  <si>
    <t>North West</t>
  </si>
  <si>
    <t>Northern Region</t>
  </si>
  <si>
    <t>West Bengal</t>
  </si>
  <si>
    <t>Murshidabad</t>
  </si>
  <si>
    <t>Gujarat</t>
  </si>
  <si>
    <t>Panch Mahals</t>
  </si>
  <si>
    <t>Western Region</t>
  </si>
  <si>
    <t>Mahesana</t>
  </si>
  <si>
    <t>Urban</t>
  </si>
  <si>
    <t>Telangana</t>
  </si>
  <si>
    <t>Warangal Rural</t>
  </si>
  <si>
    <t>Kerala</t>
  </si>
  <si>
    <t>Kasaragod</t>
  </si>
  <si>
    <t>Manipur</t>
  </si>
  <si>
    <t>Thoubal</t>
  </si>
  <si>
    <t>Ramanathapuram</t>
  </si>
  <si>
    <t>Ahmadabad</t>
  </si>
  <si>
    <t>Mirzapur</t>
  </si>
  <si>
    <t>Puri</t>
  </si>
  <si>
    <t>Madhya Pradesh</t>
  </si>
  <si>
    <t>Satna</t>
  </si>
  <si>
    <t>Jehanabad</t>
  </si>
  <si>
    <t>Karnataka</t>
  </si>
  <si>
    <t>Koppal</t>
  </si>
  <si>
    <t>Pudukkottai</t>
  </si>
  <si>
    <t>Punjab</t>
  </si>
  <si>
    <t>Tarn Taran</t>
  </si>
  <si>
    <t>Palakkad</t>
  </si>
  <si>
    <t>Shivpuri</t>
  </si>
  <si>
    <t>Goalpara</t>
  </si>
  <si>
    <t>Ambedkar Nagar</t>
  </si>
  <si>
    <t>Begusarai</t>
  </si>
  <si>
    <t>Mathura</t>
  </si>
  <si>
    <t>Central</t>
  </si>
  <si>
    <t>Maharashtra</t>
  </si>
  <si>
    <t>Dhule</t>
  </si>
  <si>
    <t>Kamareddy</t>
  </si>
  <si>
    <t>Uttarakhand</t>
  </si>
  <si>
    <t>Dehradun</t>
  </si>
  <si>
    <t>Andhra Pradesh</t>
  </si>
  <si>
    <t>Visakhapatanam</t>
  </si>
  <si>
    <t>Haryana</t>
  </si>
  <si>
    <t>Kurukshetra</t>
  </si>
  <si>
    <t>Agra</t>
  </si>
  <si>
    <t>Meghalaya</t>
  </si>
  <si>
    <t>East Garo Hills</t>
  </si>
  <si>
    <t>Chhattisgarh</t>
  </si>
  <si>
    <t>Gariyaband</t>
  </si>
  <si>
    <t>Gadchiroli</t>
  </si>
  <si>
    <t>Mau</t>
  </si>
  <si>
    <t>Bilaspur</t>
  </si>
  <si>
    <t>Jammu and Kashmir</t>
  </si>
  <si>
    <t>Doda</t>
  </si>
  <si>
    <t>Coimbatore</t>
  </si>
  <si>
    <t>Rupnagar</t>
  </si>
  <si>
    <t>Nagaland</t>
  </si>
  <si>
    <t>Kohima</t>
  </si>
  <si>
    <t>Y.S.R.</t>
  </si>
  <si>
    <t>Rajasthan</t>
  </si>
  <si>
    <t>Baran</t>
  </si>
  <si>
    <t>Jharkhand</t>
  </si>
  <si>
    <t>Ranchi</t>
  </si>
  <si>
    <t>Arunachal Pradesh</t>
  </si>
  <si>
    <t>Upper Subansiri</t>
  </si>
  <si>
    <t>Lucknow</t>
  </si>
  <si>
    <t>Rampur</t>
  </si>
  <si>
    <t>Nagpur</t>
  </si>
  <si>
    <t>Gandhinagar</t>
  </si>
  <si>
    <t>Himachal Pradesh</t>
  </si>
  <si>
    <t>Lahul and Spiti</t>
  </si>
  <si>
    <t>Puducherry</t>
  </si>
  <si>
    <t>Yanam</t>
  </si>
  <si>
    <t>Gadag</t>
  </si>
  <si>
    <t>Jalaun</t>
  </si>
  <si>
    <t>Hazaribagh</t>
  </si>
  <si>
    <t>Akola</t>
  </si>
  <si>
    <t>Bankura</t>
  </si>
  <si>
    <t>Ghaziabad</t>
  </si>
  <si>
    <t>Shimla</t>
  </si>
  <si>
    <t>Korea</t>
  </si>
  <si>
    <t>Baloda Bazar</t>
  </si>
  <si>
    <t>Ganjam</t>
  </si>
  <si>
    <t>Jajapur</t>
  </si>
  <si>
    <t>Bahraich</t>
  </si>
  <si>
    <t>Sirsa</t>
  </si>
  <si>
    <t>Dinajpur Uttar</t>
  </si>
  <si>
    <t>Hanumangarh</t>
  </si>
  <si>
    <t>Thiruvananthapuram</t>
  </si>
  <si>
    <t>Krishna</t>
  </si>
  <si>
    <t>Haridwar</t>
  </si>
  <si>
    <t>Chamba</t>
  </si>
  <si>
    <t>Dhamtari</t>
  </si>
  <si>
    <t>Hathras</t>
  </si>
  <si>
    <t>Chittoor</t>
  </si>
  <si>
    <t>Warangal Urban</t>
  </si>
  <si>
    <t>Nagarkurnool</t>
  </si>
  <si>
    <t>Sahebganj</t>
  </si>
  <si>
    <t>Rae Bareli</t>
  </si>
  <si>
    <t>Purulia</t>
  </si>
  <si>
    <t>West Garo Hills</t>
  </si>
  <si>
    <t>Pune</t>
  </si>
  <si>
    <t>Dausa</t>
  </si>
  <si>
    <t>Pali</t>
  </si>
  <si>
    <t>Amritsar</t>
  </si>
  <si>
    <t>Morena</t>
  </si>
  <si>
    <t>Janjgir-Champa</t>
  </si>
  <si>
    <t>Sehore</t>
  </si>
  <si>
    <t>Kangra</t>
  </si>
  <si>
    <t>Sonipat</t>
  </si>
  <si>
    <t>Alipurduar</t>
  </si>
  <si>
    <t>Chandrapur</t>
  </si>
  <si>
    <t>Mulugu</t>
  </si>
  <si>
    <t>Narmada</t>
  </si>
  <si>
    <t>Shamli</t>
  </si>
  <si>
    <t>Davangere</t>
  </si>
  <si>
    <t>Pathanamthitta</t>
  </si>
  <si>
    <t>Ranga Reddy</t>
  </si>
  <si>
    <t>Mizoram</t>
  </si>
  <si>
    <t>Lawngtlai</t>
  </si>
  <si>
    <t>Alwar</t>
  </si>
  <si>
    <t>Banka</t>
  </si>
  <si>
    <t>Khammam</t>
  </si>
  <si>
    <t>Banswara</t>
  </si>
  <si>
    <t>Moradabad</t>
  </si>
  <si>
    <t>Sheikhpura</t>
  </si>
  <si>
    <t>Gwalior</t>
  </si>
  <si>
    <t>Ahmednagar</t>
  </si>
  <si>
    <t>Charaideo</t>
  </si>
  <si>
    <t>Jhansi</t>
  </si>
  <si>
    <t>Osmanabad</t>
  </si>
  <si>
    <t>Ramanagara</t>
  </si>
  <si>
    <t>Vaishali</t>
  </si>
  <si>
    <t>Gajapati</t>
  </si>
  <si>
    <t>Karur</t>
  </si>
  <si>
    <t>Patna</t>
  </si>
  <si>
    <t>Kamrup</t>
  </si>
  <si>
    <t>Golaghat</t>
  </si>
  <si>
    <t>Ajmer</t>
  </si>
  <si>
    <t>Azamgarh</t>
  </si>
  <si>
    <t>West Jaintia Hills</t>
  </si>
  <si>
    <t>Prakasam</t>
  </si>
  <si>
    <t>Ballari</t>
  </si>
  <si>
    <t>Korba</t>
  </si>
  <si>
    <t>Marigaon</t>
  </si>
  <si>
    <t>Kheri</t>
  </si>
  <si>
    <t>Jogulamba Gadwal</t>
  </si>
  <si>
    <t>Udupi</t>
  </si>
  <si>
    <t>Udaipur</t>
  </si>
  <si>
    <t>Siddipet</t>
  </si>
  <si>
    <t>Khawzawl</t>
  </si>
  <si>
    <t>Thiruvallur</t>
  </si>
  <si>
    <t>Upper Siang</t>
  </si>
  <si>
    <t>Gorakhpur</t>
  </si>
  <si>
    <t>Karnal</t>
  </si>
  <si>
    <t>Ludhiana</t>
  </si>
  <si>
    <t>Auraiya</t>
  </si>
  <si>
    <t>Porbandar</t>
  </si>
  <si>
    <t>Mungeli</t>
  </si>
  <si>
    <t>Jalpaiguri</t>
  </si>
  <si>
    <t>Dang</t>
  </si>
  <si>
    <t>East</t>
  </si>
  <si>
    <t>Boudh</t>
  </si>
  <si>
    <t>Pratapgarh</t>
  </si>
  <si>
    <t>Rayagada</t>
  </si>
  <si>
    <t>Khunti</t>
  </si>
  <si>
    <t>Villupuram</t>
  </si>
  <si>
    <t>Longding</t>
  </si>
  <si>
    <t>Churachandpur</t>
  </si>
  <si>
    <t>Ambala</t>
  </si>
  <si>
    <t>Sitapur</t>
  </si>
  <si>
    <t>Nagaur</t>
  </si>
  <si>
    <t>Dindori</t>
  </si>
  <si>
    <t>Pithoragarh</t>
  </si>
  <si>
    <t>Biswanath</t>
  </si>
  <si>
    <t>Nalgonda</t>
  </si>
  <si>
    <t>Sant Kabeer Nagar</t>
  </si>
  <si>
    <t>Chitrakoot</t>
  </si>
  <si>
    <t>Tripura</t>
  </si>
  <si>
    <t>North Tripura</t>
  </si>
  <si>
    <t>Almora</t>
  </si>
  <si>
    <t>Chennai</t>
  </si>
  <si>
    <t>Kathua</t>
  </si>
  <si>
    <t>Saran</t>
  </si>
  <si>
    <t>Hamirpur</t>
  </si>
  <si>
    <t>Jamui</t>
  </si>
  <si>
    <t>Kanchipuram</t>
  </si>
  <si>
    <t>Bhavnagar</t>
  </si>
  <si>
    <t>Pashchim Champaran</t>
  </si>
  <si>
    <t>Satara</t>
  </si>
  <si>
    <t>Karimnagar</t>
  </si>
  <si>
    <t>Dakshina Kannada</t>
  </si>
  <si>
    <t>Dholpur</t>
  </si>
  <si>
    <t>Tuticorin</t>
  </si>
  <si>
    <t>Rajanna Sircilla</t>
  </si>
  <si>
    <t>Ranipet</t>
  </si>
  <si>
    <t>Hooghly</t>
  </si>
  <si>
    <t>Surendranagar</t>
  </si>
  <si>
    <t>Anand</t>
  </si>
  <si>
    <t>Cuddalore</t>
  </si>
  <si>
    <t>Jabalpur</t>
  </si>
  <si>
    <t>Balangir</t>
  </si>
  <si>
    <t>Maharajganj</t>
  </si>
  <si>
    <t>Unnao</t>
  </si>
  <si>
    <t>The Nilgiris</t>
  </si>
  <si>
    <t>Rohtas</t>
  </si>
  <si>
    <t>Coochbehar</t>
  </si>
  <si>
    <t>Srikakulam</t>
  </si>
  <si>
    <t>Palwal</t>
  </si>
  <si>
    <t>Yamunanagar</t>
  </si>
  <si>
    <t>Panna</t>
  </si>
  <si>
    <t>Vadodara</t>
  </si>
  <si>
    <t>Muzaffarnagar</t>
  </si>
  <si>
    <t>Fazilka</t>
  </si>
  <si>
    <t>Jhajjar</t>
  </si>
  <si>
    <t>Gonda</t>
  </si>
  <si>
    <t>Bharuch</t>
  </si>
  <si>
    <t>Jangoan</t>
  </si>
  <si>
    <t>Sonitpur</t>
  </si>
  <si>
    <t>Nalanda</t>
  </si>
  <si>
    <t>Surguja</t>
  </si>
  <si>
    <t>Mahasamund</t>
  </si>
  <si>
    <t>Aurangabad</t>
  </si>
  <si>
    <t>Rajgarh</t>
  </si>
  <si>
    <t>Namakkal</t>
  </si>
  <si>
    <t>Tumakuru</t>
  </si>
  <si>
    <t>Anugul</t>
  </si>
  <si>
    <t>Bhojpur</t>
  </si>
  <si>
    <t>Jagitial</t>
  </si>
  <si>
    <t>Varanasi</t>
  </si>
  <si>
    <t>Udhampur</t>
  </si>
  <si>
    <t>Alappuzha</t>
  </si>
  <si>
    <t>Navsari</t>
  </si>
  <si>
    <t>Amroha</t>
  </si>
  <si>
    <t>New Delhi</t>
  </si>
  <si>
    <t>Sagar</t>
  </si>
  <si>
    <t>Gomati</t>
  </si>
  <si>
    <t>Fatehpur</t>
  </si>
  <si>
    <t>Saiha</t>
  </si>
  <si>
    <t>Lakhisarai</t>
  </si>
  <si>
    <t>Patiala</t>
  </si>
  <si>
    <t>Dewas</t>
  </si>
  <si>
    <t>Dumka</t>
  </si>
  <si>
    <t>Rohtak</t>
  </si>
  <si>
    <t>Niwari</t>
  </si>
  <si>
    <t>Jaipur</t>
  </si>
  <si>
    <t>Jaunpur</t>
  </si>
  <si>
    <t>Bhagalpur</t>
  </si>
  <si>
    <t>Basti</t>
  </si>
  <si>
    <t>Sundargarh</t>
  </si>
  <si>
    <t>Ratlam</t>
  </si>
  <si>
    <t>Kota</t>
  </si>
  <si>
    <t>Banas Kantha</t>
  </si>
  <si>
    <t>Betul</t>
  </si>
  <si>
    <t>Ganganagar</t>
  </si>
  <si>
    <t>Gaurella Pendra Marwahi</t>
  </si>
  <si>
    <t>Andaman and Nicobar Islands</t>
  </si>
  <si>
    <t>South Andamans</t>
  </si>
  <si>
    <t>Pondicherry</t>
  </si>
  <si>
    <t>Sivaganga</t>
  </si>
  <si>
    <t>Karbi Anglong</t>
  </si>
  <si>
    <t>Sirohi</t>
  </si>
  <si>
    <t>Karauli</t>
  </si>
  <si>
    <t>Bidar</t>
  </si>
  <si>
    <t>Meerut</t>
  </si>
  <si>
    <t>Anuppur</t>
  </si>
  <si>
    <t>Firozabad</t>
  </si>
  <si>
    <t>Papum Pare</t>
  </si>
  <si>
    <t>Bijapur</t>
  </si>
  <si>
    <t>Nagapattinam</t>
  </si>
  <si>
    <t>Nadia</t>
  </si>
  <si>
    <t>Tinsukia</t>
  </si>
  <si>
    <t>Anantapur</t>
  </si>
  <si>
    <t>Vellore</t>
  </si>
  <si>
    <t>Jammu</t>
  </si>
  <si>
    <t>Khordha</t>
  </si>
  <si>
    <t>Dantewada</t>
  </si>
  <si>
    <t>Lakshadweep</t>
  </si>
  <si>
    <t>Lakshadweep District</t>
  </si>
  <si>
    <t>Bokaro</t>
  </si>
  <si>
    <t>Bundi</t>
  </si>
  <si>
    <t>Jorhat</t>
  </si>
  <si>
    <t>Yadgir</t>
  </si>
  <si>
    <t>Balrampur</t>
  </si>
  <si>
    <t>Malappuram</t>
  </si>
  <si>
    <t>24 Paraganas South</t>
  </si>
  <si>
    <t>Kumuram Bheem Asifabad</t>
  </si>
  <si>
    <t>Moga</t>
  </si>
  <si>
    <t>Kalahandi</t>
  </si>
  <si>
    <t>Sonepur</t>
  </si>
  <si>
    <t>Faridabad</t>
  </si>
  <si>
    <t>Medchal Malkajgiri</t>
  </si>
  <si>
    <t>Kapurthala</t>
  </si>
  <si>
    <t>Burhanpur</t>
  </si>
  <si>
    <t>Bongaigaon</t>
  </si>
  <si>
    <t>Chirang</t>
  </si>
  <si>
    <t>Karimganj</t>
  </si>
  <si>
    <t>Jalgaon</t>
  </si>
  <si>
    <t>Goa</t>
  </si>
  <si>
    <t>South Goa</t>
  </si>
  <si>
    <t>Munger</t>
  </si>
  <si>
    <t>Kolasib</t>
  </si>
  <si>
    <t>Siwan</t>
  </si>
  <si>
    <t>Wokha</t>
  </si>
  <si>
    <t>Panchkula</t>
  </si>
  <si>
    <t>Sambalpur</t>
  </si>
  <si>
    <t>Udam Singh Nagar</t>
  </si>
  <si>
    <t>Jind</t>
  </si>
  <si>
    <t>Sidhi</t>
  </si>
  <si>
    <t>Jharsuguda</t>
  </si>
  <si>
    <t>Chandigarh</t>
  </si>
  <si>
    <t>Maldah</t>
  </si>
  <si>
    <t>Tirupathur</t>
  </si>
  <si>
    <t>Deogarh</t>
  </si>
  <si>
    <t>Botad</t>
  </si>
  <si>
    <t>Tiruvannamalai</t>
  </si>
  <si>
    <t>Surajpur</t>
  </si>
  <si>
    <t>Balaghat</t>
  </si>
  <si>
    <t>Mokokchung</t>
  </si>
  <si>
    <t>South West Khasi Hills</t>
  </si>
  <si>
    <t>Shahid Bhagat Singh Nagar</t>
  </si>
  <si>
    <t>Barabanki</t>
  </si>
  <si>
    <t>Nawada</t>
  </si>
  <si>
    <t>Jashpur</t>
  </si>
  <si>
    <t>Imphal East</t>
  </si>
  <si>
    <t>Hoshangabad</t>
  </si>
  <si>
    <t>Sikkim</t>
  </si>
  <si>
    <t>South District</t>
  </si>
  <si>
    <t>Lower Subansiri</t>
  </si>
  <si>
    <t>Dhalai</t>
  </si>
  <si>
    <t>Khargone</t>
  </si>
  <si>
    <t>Bhopal</t>
  </si>
  <si>
    <t>Sambhal</t>
  </si>
  <si>
    <t>Nandurbar</t>
  </si>
  <si>
    <t>Sheohar</t>
  </si>
  <si>
    <t>Siddharth Nagar</t>
  </si>
  <si>
    <t>Howrah</t>
  </si>
  <si>
    <t>Vikarabad</t>
  </si>
  <si>
    <t>Gurugram</t>
  </si>
  <si>
    <t>Mahoba</t>
  </si>
  <si>
    <t>Buxar</t>
  </si>
  <si>
    <t>Churu</t>
  </si>
  <si>
    <t>West Tripura</t>
  </si>
  <si>
    <t>Tirunelveli</t>
  </si>
  <si>
    <t>Katihar</t>
  </si>
  <si>
    <t>Thiruvarur</t>
  </si>
  <si>
    <t>Morbi</t>
  </si>
  <si>
    <t>Mainpuri</t>
  </si>
  <si>
    <t>Ganderbal</t>
  </si>
  <si>
    <t>Amreli</t>
  </si>
  <si>
    <t>Panipat</t>
  </si>
  <si>
    <t>Cachar</t>
  </si>
  <si>
    <t>Deoria</t>
  </si>
  <si>
    <t>Ujjain</t>
  </si>
  <si>
    <t>Kanker</t>
  </si>
  <si>
    <t>Chengalpattu</t>
  </si>
  <si>
    <t>Birbhum</t>
  </si>
  <si>
    <t>Gopalganj</t>
  </si>
  <si>
    <t>Baksa</t>
  </si>
  <si>
    <t>Ayodhya</t>
  </si>
  <si>
    <t>Katni</t>
  </si>
  <si>
    <t>East Singhbum</t>
  </si>
  <si>
    <t>Nashik</t>
  </si>
  <si>
    <t>Kozhikode</t>
  </si>
  <si>
    <t>Paschim Bardhaman</t>
  </si>
  <si>
    <t>Mayurbhanj</t>
  </si>
  <si>
    <t>Kheda</t>
  </si>
  <si>
    <t>Medinipur East</t>
  </si>
  <si>
    <t>Kolhapur</t>
  </si>
  <si>
    <t>Raigad</t>
  </si>
  <si>
    <t>Mahabubabad</t>
  </si>
  <si>
    <t>Sawai Madhopur</t>
  </si>
  <si>
    <t>Sultanpur</t>
  </si>
  <si>
    <t>Krishnagiri</t>
  </si>
  <si>
    <t xml:space="preserve">State Name </t>
  </si>
  <si>
    <t xml:space="preserve">State Code </t>
  </si>
  <si>
    <t xml:space="preserve">District Name </t>
  </si>
  <si>
    <t xml:space="preserve">District Code </t>
  </si>
  <si>
    <t xml:space="preserve">Region </t>
  </si>
  <si>
    <t xml:space="preserve">Population Group </t>
  </si>
  <si>
    <t xml:space="preserve">Number of SCB Offices </t>
  </si>
  <si>
    <t xml:space="preserve">Year </t>
  </si>
  <si>
    <t xml:space="preserve">Number of Accounts with SCBs </t>
  </si>
  <si>
    <t>Amount deposited</t>
  </si>
  <si>
    <t>Accounts per office</t>
  </si>
  <si>
    <t>Deposit per account</t>
  </si>
  <si>
    <t>Deposit per office</t>
  </si>
  <si>
    <t>Deposit Category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</si>
  <si>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</si>
  <si>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</si>
  <si>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</si>
  <si>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</si>
  <si>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</si>
  <si>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</si>
  <si>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</si>
  <si>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</si>
  <si>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</si>
  <si>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</si>
  <si>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</si>
  <si>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</si>
  <si>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</si>
  <si>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</si>
  <si>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Total number of SCB offices</t>
  </si>
  <si>
    <t>Total number of accounts with SCB's</t>
  </si>
  <si>
    <t>Average amount deposited</t>
  </si>
  <si>
    <t>Average number of accounts per office</t>
  </si>
  <si>
    <t>Find out's</t>
  </si>
  <si>
    <t>Answers</t>
  </si>
  <si>
    <t>Total number of records</t>
  </si>
  <si>
    <t>Sum of Number of SCB Offices</t>
  </si>
  <si>
    <t>Grand Total</t>
  </si>
  <si>
    <t xml:space="preserve">                            Number of SCB offices in each state</t>
  </si>
  <si>
    <t>Sum of Number of Accounts with SCBs</t>
  </si>
  <si>
    <t>State name</t>
  </si>
  <si>
    <t>District name</t>
  </si>
  <si>
    <t xml:space="preserve">                     Number of accounts withSCB in each district</t>
  </si>
  <si>
    <t>Average of Amount deposited</t>
  </si>
  <si>
    <t>Population group</t>
  </si>
  <si>
    <t>Average amount deposited by popoulation group</t>
  </si>
  <si>
    <t xml:space="preserve">Sum of Number of SCB Offices </t>
  </si>
  <si>
    <t>Region</t>
  </si>
  <si>
    <t xml:space="preserve">                  Number of offices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</si>
</sst>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22</xdr:row>
      <xdr:rowOff>83820</xdr:rowOff>
    </xdr:from>
    <xdr:to>
      <xdr:col>0</xdr:col>
      <xdr:colOff>172719</xdr:colOff>
      <xdr:row>22</xdr:row>
      <xdr:rowOff>160020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B60B5BCC-9131-8980-1E1B-4CB5B785FC41}"/>
            </a:ext>
          </a:extLst>
        </xdr:cNvPr>
        <xdr:cNvSpPr txBox="1"/>
      </xdr:nvSpPr>
      <xdr:spPr>
        <a:xfrm flipV="1">
          <a:off x="127000" y="4107180"/>
          <a:ext cx="45719" cy="762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noAutofit/>
        </a:bodyPr>
        <a:lstStyle/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80.472996296296" backgroundQuery="1" createdVersion="8" refreshedVersion="8" minRefreshableVersion="3" recordCount="0" supportSubquery="1" supportAdvancedDrill="1" xr:uid="{F85313E3-8511-4037-9079-BB14A90198D2}">
  <cacheSource type="external" connectionId="2"/>
  <cacheFields count="2">
    <cacheField name="[Measures].[Sum of Number of SCB Offices]" caption="Sum of Number of SCB Offices" numFmtId="0" hierarchy="22" level="32767"/>
    <cacheField name="[State_DIM].[State Name].[State Name]" caption="State Name" numFmtId="0" hierarchy="16" level="1">
      <sharedItems count="34">
        <s v="Andaman and Nicobar Islands"/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and Kashmir"/>
        <s v="Jharkhand"/>
        <s v="Karnataka"/>
        <s v="Kerala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</cacheFields>
  <cacheHierarchies count="24">
    <cacheHierarchy uniqueName="[District_DIM].[District Name]" caption="District Name" attribute="1" defaultMemberUniqueName="[District_DIM].[District Name].[All]" allUniqueName="[District_DIM].[District Name].[All]" dimensionUniqueName="[District_DIM]" displayFolder="" count="0" memberValueDatatype="130" unbalanced="0"/>
    <cacheHierarchy uniqueName="[District_DIM].[District Code]" caption="District Code" attribute="1" defaultMemberUniqueName="[District_DIM].[District Code].[All]" allUniqueName="[District_DIM].[District Code].[All]" dimensionUniqueName="[District_DIM]" displayFolder="" count="0" memberValueDatatype="20" unbalanced="0"/>
    <cacheHierarchy uniqueName="[Population_group__Wise_Deposits_Sample_Data__1].[Year]" caption="Year" attribute="1" defaultMemberUniqueName="[Population_group__Wise_Deposits_Sample_Data__1].[Year].[All]" allUniqueName="[Population_group__Wise_Deposits_Sample_Data__1].[Year].[All]" dimensionUniqueName="[Population_group__Wise_Deposits_Sample_Data__1]" displayFolder="" count="0" memberValueDatatype="20" unbalanced="0"/>
    <cacheHierarchy uniqueName="[Population_group__Wise_Deposits_Sample_Data__1].[State Name]" caption="State Name" attribute="1" defaultMemberUniqueName="[Population_group__Wise_Deposits_Sample_Data__1].[State Name].[All]" allUniqueName="[Population_group__Wise_Deposits_Sample_Data__1].[State Name].[All]" dimensionUniqueName="[Population_group__Wise_Deposits_Sample_Data__1]" displayFolder="" count="0" memberValueDatatype="130" unbalanced="0"/>
    <cacheHierarchy uniqueName="[Population_group__Wise_Deposits_Sample_Data__1].[State Code]" caption="State Code" attribute="1" defaultMemberUniqueName="[Population_group__Wise_Deposits_Sample_Data__1].[State Code].[All]" allUniqueName="[Population_group__Wise_Deposits_Sample_Data__1].[State Code].[All]" dimensionUniqueName="[Population_group__Wise_Deposits_Sample_Data__1]" displayFolder="" count="0" memberValueDatatype="20" unbalanced="0"/>
    <cacheHierarchy uniqueName="[Population_group__Wise_Deposits_Sample_Data__1].[District Name]" caption="District Name" attribute="1" defaultMemberUniqueName="[Population_group__Wise_Deposits_Sample_Data__1].[District Name].[All]" allUniqueName="[Population_group__Wise_Deposits_Sample_Data__1].[District Name].[All]" dimensionUniqueName="[Population_group__Wise_Deposits_Sample_Data__1]" displayFolder="" count="0" memberValueDatatype="130" unbalanced="0"/>
    <cacheHierarchy uniqueName="[Population_group__Wise_Deposits_Sample_Data__1].[District Code]" caption="District Code" attribute="1" defaultMemberUniqueName="[Population_group__Wise_Deposits_Sample_Data__1].[District Code].[All]" allUniqueName="[Population_group__Wise_Deposits_Sample_Data__1].[District Code].[All]" dimensionUniqueName="[Population_group__Wise_Deposits_Sample_Data__1]" displayFolder="" count="0" memberValueDatatype="20" unbalanced="0"/>
    <cacheHierarchy uniqueName="[Population_group__Wise_Deposits_Sample_Data__1].[Region]" caption="Region" attribute="1" defaultMemberUniqueName="[Population_group__Wise_Deposits_Sample_Data__1].[Region].[All]" allUniqueName="[Population_group__Wise_Deposits_Sample_Data__1].[Region].[All]" dimensionUniqueName="[Population_group__Wise_Deposits_Sample_Data__1]" displayFolder="" count="0" memberValueDatatype="130" unbalanced="0"/>
    <cacheHierarchy uniqueName="[Population_group__Wise_Deposits_Sample_Data__1].[Population Group]" caption="Population Group" attribute="1" defaultMemberUniqueName="[Population_group__Wise_Deposits_Sample_Data__1].[Population Group].[All]" allUniqueName="[Population_group__Wise_Deposits_Sample_Data__1].[Population Group].[All]" dimensionUniqueName="[Population_group__Wise_Deposits_Sample_Data__1]" displayFolder="" count="0" memberValueDatatype="130" unbalanced="0"/>
    <cacheHierarchy uniqueName="[Population_group__Wise_Deposits_Sample_Data__1].[Number of SCB Offices]" caption="Number of SCB Offices" attribute="1" defaultMemberUniqueName="[Population_group__Wise_Deposits_Sample_Data__1].[Number of SCB Offices].[All]" allUniqueName="[Population_group__Wise_Deposits_Sample_Data__1].[Number of SCB Offices].[All]" dimensionUniqueName="[Population_group__Wise_Deposits_Sample_Data__1]" displayFolder="" count="0" memberValueDatatype="20" unbalanced="0"/>
    <cacheHierarchy uniqueName="[Population_group__Wise_Deposits_Sample_Data__1].[Number of Accounts with SCBs]" caption="Number of Accounts with SCBs" attribute="1" defaultMemberUniqueName="[Population_group__Wise_Deposits_Sample_Data__1].[Number of Accounts with SCBs].[All]" allUniqueName="[Population_group__Wise_Deposits_Sample_Data__1].[Number of Accounts with SCBs].[All]" dimensionUniqueName="[Population_group__Wise_Deposits_Sample_Data__1]" displayFolder="" count="0" memberValueDatatype="20" unbalanced="0"/>
    <cacheHierarchy uniqueName="[Population_group__Wise_Deposits_Sample_Data__1].[Amount deposited]" caption="Amount deposited" attribute="1" defaultMemberUniqueName="[Population_group__Wise_Deposits_Sample_Data__1].[Amount deposited].[All]" allUniqueName="[Population_group__Wise_Deposits_Sample_Data__1].[Amount deposited].[All]" dimensionUniqueName="[Population_group__Wise_Deposits_Sample_Data__1]" displayFolder="" count="0" memberValueDatatype="20" unbalanced="0"/>
    <cacheHierarchy uniqueName="[Population_group__Wise_Deposits_Sample_Data__1].[Accounts per office]" caption="Accounts per office" attribute="1" defaultMemberUniqueName="[Population_group__Wise_Deposits_Sample_Data__1].[Accounts per office].[All]" allUniqueName="[Population_group__Wise_Deposits_Sample_Data__1].[Accounts per office].[All]" dimensionUniqueName="[Population_group__Wise_Deposits_Sample_Data__1]" displayFolder="" count="0" memberValueDatatype="5" unbalanced="0"/>
    <cacheHierarchy uniqueName="[Population_group__Wise_Deposits_Sample_Data__1].[Deposit per account]" caption="Deposit per account" attribute="1" defaultMemberUniqueName="[Population_group__Wise_Deposits_Sample_Data__1].[Deposit per account].[All]" allUniqueName="[Population_group__Wise_Deposits_Sample_Data__1].[Deposit per account].[All]" dimensionUniqueName="[Population_group__Wise_Deposits_Sample_Data__1]" displayFolder="" count="0" memberValueDatatype="5" unbalanced="0"/>
    <cacheHierarchy uniqueName="[Population_group__Wise_Deposits_Sample_Data__1].[Deposit per office]" caption="Deposit per office" attribute="1" defaultMemberUniqueName="[Population_group__Wise_Deposits_Sample_Data__1].[Deposit per office].[All]" allUniqueName="[Population_group__Wise_Deposits_Sample_Data__1].[Deposit per office].[All]" dimensionUniqueName="[Population_group__Wise_Deposits_Sample_Data__1]" displayFolder="" count="0" memberValueDatatype="5" unbalanced="0"/>
    <cacheHierarchy uniqueName="[Population_group__Wise_Deposits_Sample_Data__1].[Deposit Category]" caption="Deposit Category" attribute="1" defaultMemberUniqueName="[Population_group__Wise_Deposits_Sample_Data__1].[Deposit Category].[All]" allUniqueName="[Population_group__Wise_Deposits_Sample_Data__1].[Deposit Category].[All]" dimensionUniqueName="[Population_group__Wise_Deposits_Sample_Data__1]" displayFolder="" count="0" memberValueDatatype="130" unbalanced="0"/>
    <cacheHierarchy uniqueName="[State_DIM].[State Name]" caption="State Name" attribute="1" defaultMemberUniqueName="[State_DIM].[State Name].[All]" allUniqueName="[State_DIM].[State Name].[All]" dimensionUniqueName="[State_DIM]" displayFolder="" count="2" memberValueDatatype="130" unbalanced="0">
      <fieldsUsage count="2">
        <fieldUsage x="-1"/>
        <fieldUsage x="1"/>
      </fieldsUsage>
    </cacheHierarchy>
    <cacheHierarchy uniqueName="[State_DIM].[State Code]" caption="State Code" attribute="1" defaultMemberUniqueName="[State_DIM].[State Code].[All]" allUniqueName="[State_DIM].[State Code].[All]" dimensionUniqueName="[State_DIM]" displayFolder="" count="0" memberValueDatatype="20" unbalanced="0"/>
    <cacheHierarchy uniqueName="[Measures].[__XL_Count Population_group__Wise_Deposits_Sample_Data__1]" caption="__XL_Count Population_group__Wise_Deposits_Sample_Data__1" measure="1" displayFolder="" measureGroup="Population_group__Wise_Deposits_Sample_Data__1" count="0" hidden="1"/>
    <cacheHierarchy uniqueName="[Measures].[__XL_Count Table2]" caption="__XL_Count Table2" measure="1" displayFolder="" measureGroup="State_DIM" count="0" hidden="1"/>
    <cacheHierarchy uniqueName="[Measures].[__XL_Count Table3]" caption="__XL_Count Table3" measure="1" displayFolder="" measureGroup="District_DIM" count="0" hidden="1"/>
    <cacheHierarchy uniqueName="[Measures].[__No measures defined]" caption="__No measures defined" measure="1" displayFolder="" count="0" hidden="1"/>
    <cacheHierarchy uniqueName="[Measures].[Sum of Number of SCB Offices]" caption="Sum of Number of SCB Offices" measure="1" displayFolder="" measureGroup="Population_group__Wise_Deposits_Sample_Data_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umber of Accounts with SCBs]" caption="Sum of Number of Accounts with SCBs" measure="1" displayFolder="" measureGroup="Population_group__Wise_Deposits_Sample_Data_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District_DIM" uniqueName="[District_DIM]" caption="District_DIM"/>
    <dimension measure="1" name="Measures" uniqueName="[Measures]" caption="Measures"/>
    <dimension name="Population_group__Wise_Deposits_Sample_Data__1" uniqueName="[Population_group__Wise_Deposits_Sample_Data__1]" caption="Population_group__Wise_Deposits_Sample_Data__1"/>
    <dimension name="State_DIM" uniqueName="[State_DIM]" caption="State_DIM"/>
  </dimensions>
  <measureGroups count="3">
    <measureGroup name="District_DIM" caption="District_DIM"/>
    <measureGroup name="Population_group__Wise_Deposits_Sample_Data__1" caption="Population_group__Wise_Deposits_Sample_Data__1"/>
    <measureGroup name="State_DIM" caption="State_DIM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80.475486805553" backgroundQuery="1" createdVersion="8" refreshedVersion="8" minRefreshableVersion="3" recordCount="0" supportSubquery="1" supportAdvancedDrill="1" xr:uid="{DE4E9A93-6BF2-42D7-86EE-9FC1D9991F92}">
  <cacheSource type="external" connectionId="2"/>
  <cacheFields count="2">
    <cacheField name="[District_DIM].[District Name].[District Name]" caption="District Name" numFmtId="0" level="1">
      <sharedItems count="349">
        <s v="24 Paraganas South"/>
        <s v="Agra"/>
        <s v="Ahmadabad"/>
        <s v="Ahmednagar"/>
        <s v="Ajmer"/>
        <s v="Akola"/>
        <s v="Alappuzha"/>
        <s v="Alipurduar"/>
        <s v="Almora"/>
        <s v="Alwar"/>
        <s v="Ambala"/>
        <s v="Ambedkar Nagar"/>
        <s v="Amreli"/>
        <s v="Amritsar"/>
        <s v="Amroha"/>
        <s v="Anand"/>
        <s v="Anantapur"/>
        <s v="Anugul"/>
        <s v="Anuppur"/>
        <s v="Auraiya"/>
        <s v="Aurangabad"/>
        <s v="Ayodhya"/>
        <s v="Azamgarh"/>
        <s v="Bahraich"/>
        <s v="Baksa"/>
        <s v="Balaghat"/>
        <s v="Balangir"/>
        <s v="Baleshwar"/>
        <s v="Ballari"/>
        <s v="Baloda Bazar"/>
        <s v="Balrampur"/>
        <s v="Banas Kantha"/>
        <s v="Banda"/>
        <s v="Banka"/>
        <s v="Bankura"/>
        <s v="Banswara"/>
        <s v="Barabanki"/>
        <s v="Baran"/>
        <s v="Basti"/>
        <s v="Begusarai"/>
        <s v="Betul"/>
        <s v="Bhagalpur"/>
        <s v="Bharuch"/>
        <s v="Bhavnagar"/>
        <s v="Bhojpur"/>
        <s v="Bhopal"/>
        <s v="Bidar"/>
        <s v="Bijapur"/>
        <s v="Bilaspur"/>
        <s v="Birbhum"/>
        <s v="Biswanath"/>
        <s v="Bokaro"/>
        <s v="Bongaigaon"/>
        <s v="Botad"/>
        <s v="Boudh"/>
        <s v="Bundi"/>
        <s v="Burhanpur"/>
        <s v="Buxar"/>
        <s v="Cachar"/>
        <s v="Central"/>
        <s v="Chamba"/>
        <s v="Chandigarh"/>
        <s v="Chandrapur"/>
        <s v="Charaideo"/>
        <s v="Chengalpattu"/>
        <s v="Chennai"/>
        <s v="Chirang"/>
        <s v="Chitrakoot"/>
        <s v="Chittoor"/>
        <s v="Churachandpur"/>
        <s v="Churu"/>
        <s v="Coimbatore"/>
        <s v="Coochbehar"/>
        <s v="Cuddalore"/>
        <s v="Dakshina Kannada"/>
        <s v="Dang"/>
        <s v="Dantewada"/>
        <s v="Dausa"/>
        <s v="Davangere"/>
        <s v="Dehradun"/>
        <s v="Deogarh"/>
        <s v="Deoria"/>
        <s v="Dewas"/>
        <s v="Dhalai"/>
        <s v="Dhamtari"/>
        <s v="Dholpur"/>
        <s v="Dhule"/>
        <s v="Dinajpur Uttar"/>
        <s v="Dindori"/>
        <s v="Doda"/>
        <s v="Dumka"/>
        <s v="East"/>
        <s v="East Garo Hills"/>
        <s v="East Singhbum"/>
        <s v="Faridabad"/>
        <s v="Fatehpur"/>
        <s v="Fazilka"/>
        <s v="Firozabad"/>
        <s v="Gadag"/>
        <s v="Gadchiroli"/>
        <s v="Gajapati"/>
        <s v="Ganderbal"/>
        <s v="Gandhinagar"/>
        <s v="Ganganagar"/>
        <s v="Ganjam"/>
        <s v="Gariyaband"/>
        <s v="Gaurella Pendra Marwahi"/>
        <s v="Ghaziabad"/>
        <s v="Goalpara"/>
        <s v="Golaghat"/>
        <s v="Gomati"/>
        <s v="Gonda"/>
        <s v="Gopalganj"/>
        <s v="Gorakhpur"/>
        <s v="Gurugram"/>
        <s v="Gwalior"/>
        <s v="Hamirpur"/>
        <s v="Hanumangarh"/>
        <s v="Haridwar"/>
        <s v="Hathras"/>
        <s v="Hazaribagh"/>
        <s v="Hooghly"/>
        <s v="Hoshangabad"/>
        <s v="Howrah"/>
        <s v="Imphal East"/>
        <s v="Jabalpur"/>
        <s v="Jagitial"/>
        <s v="Jaipur"/>
        <s v="Jajapur"/>
        <s v="Jalaun"/>
        <s v="Jalgaon"/>
        <s v="Jalpaiguri"/>
        <s v="Jammu"/>
        <s v="Jamui"/>
        <s v="Jangoan"/>
        <s v="Janjgir-Champa"/>
        <s v="Jashpur"/>
        <s v="Jaunpur"/>
        <s v="Jehanabad"/>
        <s v="Jhajjar"/>
        <s v="Jhansi"/>
        <s v="Jharsuguda"/>
        <s v="Jind"/>
        <s v="Jogulamba Gadwal"/>
        <s v="Jorhat"/>
        <s v="Kalahandi"/>
        <s v="Kallakurichi"/>
        <s v="Kamareddy"/>
        <s v="Kamrup"/>
        <s v="Kanchipuram"/>
        <s v="Kangra"/>
        <s v="Kanker"/>
        <s v="Kanpur Nagar"/>
        <s v="Kapurthala"/>
        <s v="Karauli"/>
        <s v="Karbi Anglong"/>
        <s v="Karimganj"/>
        <s v="Karimnagar"/>
        <s v="Karnal"/>
        <s v="Karur"/>
        <s v="Kasaragod"/>
        <s v="Kathua"/>
        <s v="Katihar"/>
        <s v="Katni"/>
        <s v="Khammam"/>
        <s v="Khargone"/>
        <s v="Khawzawl"/>
        <s v="Kheda"/>
        <s v="Kheri"/>
        <s v="Khordha"/>
        <s v="Khunti"/>
        <s v="Kishanganj"/>
        <s v="Kohima"/>
        <s v="Kolasib"/>
        <s v="Kolhapur"/>
        <s v="Koppal"/>
        <s v="Korba"/>
        <s v="Korea"/>
        <s v="Kota"/>
        <s v="Kozhikode"/>
        <s v="Krishna"/>
        <s v="Krishnagiri"/>
        <s v="Kumuram Bheem Asifabad"/>
        <s v="Kurukshetra"/>
        <s v="Lahul and Spiti"/>
        <s v="Lakhisarai"/>
        <s v="Lakshadweep District"/>
        <s v="Lawngtlai"/>
        <s v="Longding"/>
        <s v="Lower Subansiri"/>
        <s v="Lucknow"/>
        <s v="Ludhiana"/>
        <s v="Mahabubabad"/>
        <s v="Maharajganj"/>
        <s v="Mahasamund"/>
        <s v="Mahesana"/>
        <s v="Mahoba"/>
        <s v="Mainpuri"/>
        <s v="Malappuram"/>
        <s v="Maldah"/>
        <s v="Marigaon"/>
        <s v="Mathura"/>
        <s v="Mau"/>
        <s v="Mayurbhanj"/>
        <s v="Medchal Malkajgiri"/>
        <s v="Medinipur East"/>
        <s v="Meerut"/>
        <s v="Mirzapur"/>
        <s v="Moga"/>
        <s v="Mokokchung"/>
        <s v="Moradabad"/>
        <s v="Morbi"/>
        <s v="Morena"/>
        <s v="Mulugu"/>
        <s v="Mungeli"/>
        <s v="Munger"/>
        <s v="Murshidabad"/>
        <s v="Muzaffarnagar"/>
        <s v="Nadia"/>
        <s v="Nagapattinam"/>
        <s v="Nagarkurnool"/>
        <s v="Nagaur"/>
        <s v="Nagpur"/>
        <s v="Nalanda"/>
        <s v="Nalgonda"/>
        <s v="Namakkal"/>
        <s v="Nandurbar"/>
        <s v="Narmada"/>
        <s v="Nashik"/>
        <s v="Navsari"/>
        <s v="Nawada"/>
        <s v="New Delhi"/>
        <s v="Niwari"/>
        <s v="North Tripura"/>
        <s v="North West"/>
        <s v="Osmanabad"/>
        <s v="Palakkad"/>
        <s v="Pali"/>
        <s v="Palwal"/>
        <s v="Panch Mahals"/>
        <s v="Panchkula"/>
        <s v="Panipat"/>
        <s v="Panna"/>
        <s v="Papum Pare"/>
        <s v="Paschim Bardhaman"/>
        <s v="Pashchim Champaran"/>
        <s v="Pathanamthitta"/>
        <s v="Patiala"/>
        <s v="Patna"/>
        <s v="Pithoragarh"/>
        <s v="Pondicherry"/>
        <s v="Porbandar"/>
        <s v="Prakasam"/>
        <s v="Pratapgarh"/>
        <s v="Pudukkottai"/>
        <s v="Pune"/>
        <s v="Puri"/>
        <s v="Purulia"/>
        <s v="Rae Bareli"/>
        <s v="Raigad"/>
        <s v="Rajanna Sircilla"/>
        <s v="Rajgarh"/>
        <s v="Ramanagara"/>
        <s v="Ramanathapuram"/>
        <s v="Rampur"/>
        <s v="Ranchi"/>
        <s v="Ranga Reddy"/>
        <s v="Ranipet"/>
        <s v="Ratlam"/>
        <s v="Rayagada"/>
        <s v="Rohtak"/>
        <s v="Rohtas"/>
        <s v="Rupnagar"/>
        <s v="Sagar"/>
        <s v="Sahebganj"/>
        <s v="Saiha"/>
        <s v="Sambalpur"/>
        <s v="Sambhal"/>
        <s v="Sant Kabeer Nagar"/>
        <s v="Saran"/>
        <s v="Satara"/>
        <s v="Satna"/>
        <s v="Sawai Madhopur"/>
        <s v="Sehore"/>
        <s v="Shahid Bhagat Singh Nagar"/>
        <s v="Shamli"/>
        <s v="Sheikhpura"/>
        <s v="Sheohar"/>
        <s v="Shimla"/>
        <s v="Shivpuri"/>
        <s v="Siddharth Nagar"/>
        <s v="Siddipet"/>
        <s v="Sidhi"/>
        <s v="Sirohi"/>
        <s v="Sirsa"/>
        <s v="Sitapur"/>
        <s v="Sivaganga"/>
        <s v="Sivasagar"/>
        <s v="Siwan"/>
        <s v="Sonepur"/>
        <s v="Sonipat"/>
        <s v="Sonitpur"/>
        <s v="South Andamans"/>
        <s v="South District"/>
        <s v="South Goa"/>
        <s v="South West Khasi Hills"/>
        <s v="Srikakulam"/>
        <s v="Sultanpur"/>
        <s v="Sundargarh"/>
        <s v="Surajpur"/>
        <s v="Surendranagar"/>
        <s v="Surguja"/>
        <s v="Tarn Taran"/>
        <s v="The Nilgiris"/>
        <s v="Thiruvallur"/>
        <s v="Thiruvananthapuram"/>
        <s v="Thiruvarur"/>
        <s v="Thoubal"/>
        <s v="Tinsukia"/>
        <s v="Tirunelveli"/>
        <s v="Tirupathur"/>
        <s v="Tiruvannamalai"/>
        <s v="Tumakuru"/>
        <s v="Tuticorin"/>
        <s v="Udaipur"/>
        <s v="Udam Singh Nagar"/>
        <s v="Udhampur"/>
        <s v="Udupi"/>
        <s v="Ujjain"/>
        <s v="Unnao"/>
        <s v="Upper Siang"/>
        <s v="Upper Subansiri"/>
        <s v="Vadodara"/>
        <s v="Vaishali"/>
        <s v="Varanasi"/>
        <s v="Vellore"/>
        <s v="Vikarabad"/>
        <s v="Villupuram"/>
        <s v="Visakhapatanam"/>
        <s v="Warangal Rural"/>
        <s v="Warangal Urban"/>
        <s v="West Garo Hills"/>
        <s v="West Jaintia Hills"/>
        <s v="West Tripura"/>
        <s v="Wokha"/>
        <s v="Y.S.R."/>
        <s v="Yadgir"/>
        <s v="Yamunanagar"/>
        <s v="Yanam"/>
      </sharedItems>
    </cacheField>
    <cacheField name="[Measures].[Sum of Number of Accounts with SCBs]" caption="Sum of Number of Accounts with SCBs" numFmtId="0" hierarchy="23" level="32767"/>
  </cacheFields>
  <cacheHierarchies count="24">
    <cacheHierarchy uniqueName="[District_DIM].[District Name]" caption="District Name" attribute="1" defaultMemberUniqueName="[District_DIM].[District Name].[All]" allUniqueName="[District_DIM].[District Name].[All]" dimensionUniqueName="[District_DIM]" displayFolder="" count="2" memberValueDatatype="130" unbalanced="0">
      <fieldsUsage count="2">
        <fieldUsage x="-1"/>
        <fieldUsage x="0"/>
      </fieldsUsage>
    </cacheHierarchy>
    <cacheHierarchy uniqueName="[District_DIM].[District Code]" caption="District Code" attribute="1" defaultMemberUniqueName="[District_DIM].[District Code].[All]" allUniqueName="[District_DIM].[District Code].[All]" dimensionUniqueName="[District_DIM]" displayFolder="" count="0" memberValueDatatype="20" unbalanced="0"/>
    <cacheHierarchy uniqueName="[Population_group__Wise_Deposits_Sample_Data__1].[Year]" caption="Year" attribute="1" defaultMemberUniqueName="[Population_group__Wise_Deposits_Sample_Data__1].[Year].[All]" allUniqueName="[Population_group__Wise_Deposits_Sample_Data__1].[Year].[All]" dimensionUniqueName="[Population_group__Wise_Deposits_Sample_Data__1]" displayFolder="" count="0" memberValueDatatype="20" unbalanced="0"/>
    <cacheHierarchy uniqueName="[Population_group__Wise_Deposits_Sample_Data__1].[State Name]" caption="State Name" attribute="1" defaultMemberUniqueName="[Population_group__Wise_Deposits_Sample_Data__1].[State Name].[All]" allUniqueName="[Population_group__Wise_Deposits_Sample_Data__1].[State Name].[All]" dimensionUniqueName="[Population_group__Wise_Deposits_Sample_Data__1]" displayFolder="" count="0" memberValueDatatype="130" unbalanced="0"/>
    <cacheHierarchy uniqueName="[Population_group__Wise_Deposits_Sample_Data__1].[State Code]" caption="State Code" attribute="1" defaultMemberUniqueName="[Population_group__Wise_Deposits_Sample_Data__1].[State Code].[All]" allUniqueName="[Population_group__Wise_Deposits_Sample_Data__1].[State Code].[All]" dimensionUniqueName="[Population_group__Wise_Deposits_Sample_Data__1]" displayFolder="" count="0" memberValueDatatype="20" unbalanced="0"/>
    <cacheHierarchy uniqueName="[Population_group__Wise_Deposits_Sample_Data__1].[District Name]" caption="District Name" attribute="1" defaultMemberUniqueName="[Population_group__Wise_Deposits_Sample_Data__1].[District Name].[All]" allUniqueName="[Population_group__Wise_Deposits_Sample_Data__1].[District Name].[All]" dimensionUniqueName="[Population_group__Wise_Deposits_Sample_Data__1]" displayFolder="" count="0" memberValueDatatype="130" unbalanced="0"/>
    <cacheHierarchy uniqueName="[Population_group__Wise_Deposits_Sample_Data__1].[District Code]" caption="District Code" attribute="1" defaultMemberUniqueName="[Population_group__Wise_Deposits_Sample_Data__1].[District Code].[All]" allUniqueName="[Population_group__Wise_Deposits_Sample_Data__1].[District Code].[All]" dimensionUniqueName="[Population_group__Wise_Deposits_Sample_Data__1]" displayFolder="" count="0" memberValueDatatype="20" unbalanced="0"/>
    <cacheHierarchy uniqueName="[Population_group__Wise_Deposits_Sample_Data__1].[Region]" caption="Region" attribute="1" defaultMemberUniqueName="[Population_group__Wise_Deposits_Sample_Data__1].[Region].[All]" allUniqueName="[Population_group__Wise_Deposits_Sample_Data__1].[Region].[All]" dimensionUniqueName="[Population_group__Wise_Deposits_Sample_Data__1]" displayFolder="" count="0" memberValueDatatype="130" unbalanced="0"/>
    <cacheHierarchy uniqueName="[Population_group__Wise_Deposits_Sample_Data__1].[Population Group]" caption="Population Group" attribute="1" defaultMemberUniqueName="[Population_group__Wise_Deposits_Sample_Data__1].[Population Group].[All]" allUniqueName="[Population_group__Wise_Deposits_Sample_Data__1].[Population Group].[All]" dimensionUniqueName="[Population_group__Wise_Deposits_Sample_Data__1]" displayFolder="" count="0" memberValueDatatype="130" unbalanced="0"/>
    <cacheHierarchy uniqueName="[Population_group__Wise_Deposits_Sample_Data__1].[Number of SCB Offices]" caption="Number of SCB Offices" attribute="1" defaultMemberUniqueName="[Population_group__Wise_Deposits_Sample_Data__1].[Number of SCB Offices].[All]" allUniqueName="[Population_group__Wise_Deposits_Sample_Data__1].[Number of SCB Offices].[All]" dimensionUniqueName="[Population_group__Wise_Deposits_Sample_Data__1]" displayFolder="" count="0" memberValueDatatype="20" unbalanced="0"/>
    <cacheHierarchy uniqueName="[Population_group__Wise_Deposits_Sample_Data__1].[Number of Accounts with SCBs]" caption="Number of Accounts with SCBs" attribute="1" defaultMemberUniqueName="[Population_group__Wise_Deposits_Sample_Data__1].[Number of Accounts with SCBs].[All]" allUniqueName="[Population_group__Wise_Deposits_Sample_Data__1].[Number of Accounts with SCBs].[All]" dimensionUniqueName="[Population_group__Wise_Deposits_Sample_Data__1]" displayFolder="" count="0" memberValueDatatype="20" unbalanced="0"/>
    <cacheHierarchy uniqueName="[Population_group__Wise_Deposits_Sample_Data__1].[Amount deposited]" caption="Amount deposited" attribute="1" defaultMemberUniqueName="[Population_group__Wise_Deposits_Sample_Data__1].[Amount deposited].[All]" allUniqueName="[Population_group__Wise_Deposits_Sample_Data__1].[Amount deposited].[All]" dimensionUniqueName="[Population_group__Wise_Deposits_Sample_Data__1]" displayFolder="" count="0" memberValueDatatype="20" unbalanced="0"/>
    <cacheHierarchy uniqueName="[Population_group__Wise_Deposits_Sample_Data__1].[Accounts per office]" caption="Accounts per office" attribute="1" defaultMemberUniqueName="[Population_group__Wise_Deposits_Sample_Data__1].[Accounts per office].[All]" allUniqueName="[Population_group__Wise_Deposits_Sample_Data__1].[Accounts per office].[All]" dimensionUniqueName="[Population_group__Wise_Deposits_Sample_Data__1]" displayFolder="" count="0" memberValueDatatype="5" unbalanced="0"/>
    <cacheHierarchy uniqueName="[Population_group__Wise_Deposits_Sample_Data__1].[Deposit per account]" caption="Deposit per account" attribute="1" defaultMemberUniqueName="[Population_group__Wise_Deposits_Sample_Data__1].[Deposit per account].[All]" allUniqueName="[Population_group__Wise_Deposits_Sample_Data__1].[Deposit per account].[All]" dimensionUniqueName="[Population_group__Wise_Deposits_Sample_Data__1]" displayFolder="" count="0" memberValueDatatype="5" unbalanced="0"/>
    <cacheHierarchy uniqueName="[Population_group__Wise_Deposits_Sample_Data__1].[Deposit per office]" caption="Deposit per office" attribute="1" defaultMemberUniqueName="[Population_group__Wise_Deposits_Sample_Data__1].[Deposit per office].[All]" allUniqueName="[Population_group__Wise_Deposits_Sample_Data__1].[Deposit per office].[All]" dimensionUniqueName="[Population_group__Wise_Deposits_Sample_Data__1]" displayFolder="" count="0" memberValueDatatype="5" unbalanced="0"/>
    <cacheHierarchy uniqueName="[Population_group__Wise_Deposits_Sample_Data__1].[Deposit Category]" caption="Deposit Category" attribute="1" defaultMemberUniqueName="[Population_group__Wise_Deposits_Sample_Data__1].[Deposit Category].[All]" allUniqueName="[Population_group__Wise_Deposits_Sample_Data__1].[Deposit Category].[All]" dimensionUniqueName="[Population_group__Wise_Deposits_Sample_Data__1]" displayFolder="" count="0" memberValueDatatype="130" unbalanced="0"/>
    <cacheHierarchy uniqueName="[State_DIM].[State Name]" caption="State Name" attribute="1" defaultMemberUniqueName="[State_DIM].[State Name].[All]" allUniqueName="[State_DIM].[State Name].[All]" dimensionUniqueName="[State_DIM]" displayFolder="" count="0" memberValueDatatype="130" unbalanced="0"/>
    <cacheHierarchy uniqueName="[State_DIM].[State Code]" caption="State Code" attribute="1" defaultMemberUniqueName="[State_DIM].[State Code].[All]" allUniqueName="[State_DIM].[State Code].[All]" dimensionUniqueName="[State_DIM]" displayFolder="" count="0" memberValueDatatype="20" unbalanced="0"/>
    <cacheHierarchy uniqueName="[Measures].[__XL_Count Population_group__Wise_Deposits_Sample_Data__1]" caption="__XL_Count Population_group__Wise_Deposits_Sample_Data__1" measure="1" displayFolder="" measureGroup="Population_group__Wise_Deposits_Sample_Data__1" count="0" hidden="1"/>
    <cacheHierarchy uniqueName="[Measures].[__XL_Count Table2]" caption="__XL_Count Table2" measure="1" displayFolder="" measureGroup="State_DIM" count="0" hidden="1"/>
    <cacheHierarchy uniqueName="[Measures].[__XL_Count Table3]" caption="__XL_Count Table3" measure="1" displayFolder="" measureGroup="District_DIM" count="0" hidden="1"/>
    <cacheHierarchy uniqueName="[Measures].[__No measures defined]" caption="__No measures defined" measure="1" displayFolder="" count="0" hidden="1"/>
    <cacheHierarchy uniqueName="[Measures].[Sum of Number of SCB Offices]" caption="Sum of Number of SCB Offices" measure="1" displayFolder="" measureGroup="Population_group__Wise_Deposits_Sample_Data_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umber of Accounts with SCBs]" caption="Sum of Number of Accounts with SCBs" measure="1" displayFolder="" measureGroup="Population_group__Wise_Deposits_Sample_Data_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District_DIM" uniqueName="[District_DIM]" caption="District_DIM"/>
    <dimension measure="1" name="Measures" uniqueName="[Measures]" caption="Measures"/>
    <dimension name="Population_group__Wise_Deposits_Sample_Data__1" uniqueName="[Population_group__Wise_Deposits_Sample_Data__1]" caption="Population_group__Wise_Deposits_Sample_Data__1"/>
    <dimension name="State_DIM" uniqueName="[State_DIM]" caption="State_DIM"/>
  </dimensions>
  <measureGroups count="3">
    <measureGroup name="District_DIM" caption="District_DIM"/>
    <measureGroup name="Population_group__Wise_Deposits_Sample_Data__1" caption="Population_group__Wise_Deposits_Sample_Data__1"/>
    <measureGroup name="State_DIM" caption="State_DIM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na ." refreshedDate="46080.481126157407" createdVersion="8" refreshedVersion="8" minRefreshableVersion="3" recordCount="500" xr:uid="{46742CD8-F18C-48DA-9694-2A46B685AC2C}">
  <cacheSource type="worksheet">
    <worksheetSource name="Population_group__Wise_Deposits_Sample_Data__1"/>
  </cacheSource>
  <cacheFields count="14">
    <cacheField name="Year " numFmtId="0">
      <sharedItems containsSemiMixedTypes="0" containsString="0" containsNumber="1" containsInteger="1" minValue="2019" maxValue="2022"/>
    </cacheField>
    <cacheField name="State Name " numFmtId="0">
      <sharedItems/>
    </cacheField>
    <cacheField name="State Code " numFmtId="0">
      <sharedItems containsSemiMixedTypes="0" containsString="0" containsNumber="1" containsInteger="1" minValue="1" maxValue="36"/>
    </cacheField>
    <cacheField name="District Name " numFmtId="0">
      <sharedItems/>
    </cacheField>
    <cacheField name="District Code " numFmtId="0">
      <sharedItems containsSemiMixedTypes="0" containsString="0" containsNumber="1" containsInteger="1" minValue="4" maxValue="734"/>
    </cacheField>
    <cacheField name="Region " numFmtId="0">
      <sharedItems count="6">
        <s v="Eastern Region"/>
        <s v="North Eastern Region"/>
        <s v="Central Region"/>
        <s v="Southern Region"/>
        <s v="Western Region"/>
        <s v="Northern Region"/>
      </sharedItems>
    </cacheField>
    <cacheField name="Population Group " numFmtId="0">
      <sharedItems count="4">
        <s v="Semi-urban"/>
        <s v="Rural"/>
        <s v="Urban"/>
        <s v="Metropolitan"/>
      </sharedItems>
    </cacheField>
    <cacheField name="Number of SCB Offices " numFmtId="2">
      <sharedItems containsSemiMixedTypes="0" containsString="0" containsNumber="1" containsInteger="1" minValue="0" maxValue="1193"/>
    </cacheField>
    <cacheField name="Number of Accounts with SCBs " numFmtId="2">
      <sharedItems containsSemiMixedTypes="0" containsString="0" containsNumber="1" containsInteger="1" minValue="0" maxValue="13985"/>
    </cacheField>
    <cacheField name="Amount deposited" numFmtId="164">
      <sharedItems containsSemiMixedTypes="0" containsString="0" containsNumber="1" containsInteger="1" minValue="0" maxValue="196020"/>
    </cacheField>
    <cacheField name="Accounts per office" numFmtId="2">
      <sharedItems containsSemiMixedTypes="0" containsString="0" containsNumber="1" minValue="0" maxValue="62.580246913580247"/>
    </cacheField>
    <cacheField name="Deposit per account" numFmtId="2">
      <sharedItems containsSemiMixedTypes="0" containsString="0" containsNumber="1" minValue="0" maxValue="17.564575645756456"/>
    </cacheField>
    <cacheField name="Deposit per office" numFmtId="2">
      <sharedItems containsSemiMixedTypes="0" containsString="0" containsNumber="1" minValue="0" maxValue="206.75822050290137"/>
    </cacheField>
    <cacheField name="Deposit Category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2022"/>
    <s v="Bihar"/>
    <n v="10"/>
    <s v="Kishanganj"/>
    <n v="203"/>
    <x v="0"/>
    <x v="0"/>
    <n v="0"/>
    <n v="0"/>
    <n v="0"/>
    <n v="0"/>
    <n v="0"/>
    <n v="0"/>
    <s v="Very Low"/>
  </r>
  <r>
    <n v="2022"/>
    <s v="Odisha"/>
    <n v="21"/>
    <s v="Baleshwar"/>
    <n v="346"/>
    <x v="0"/>
    <x v="1"/>
    <n v="154"/>
    <n v="2623"/>
    <n v="5431"/>
    <n v="17.032467532467532"/>
    <n v="2.0705299275638582"/>
    <n v="35.266233766233768"/>
    <s v="Low"/>
  </r>
  <r>
    <n v="2022"/>
    <s v="Manipur"/>
    <n v="14"/>
    <s v="Thoubal"/>
    <n v="259"/>
    <x v="1"/>
    <x v="1"/>
    <n v="0"/>
    <n v="0"/>
    <n v="0"/>
    <n v="0"/>
    <n v="0"/>
    <n v="0"/>
    <s v="Very Low"/>
  </r>
  <r>
    <n v="2022"/>
    <s v="Odisha"/>
    <n v="21"/>
    <s v="Puri"/>
    <n v="369"/>
    <x v="0"/>
    <x v="1"/>
    <n v="140"/>
    <n v="1864"/>
    <n v="4090"/>
    <n v="13.314285714285715"/>
    <n v="2.194206008583691"/>
    <n v="29.214285714285715"/>
    <s v="Low"/>
  </r>
  <r>
    <n v="2022"/>
    <s v="Madhya Pradesh"/>
    <n v="23"/>
    <s v="Satna"/>
    <n v="426"/>
    <x v="2"/>
    <x v="2"/>
    <n v="0"/>
    <n v="0"/>
    <n v="0"/>
    <n v="0"/>
    <n v="0"/>
    <n v="0"/>
    <s v="Very Low"/>
  </r>
  <r>
    <n v="2022"/>
    <s v="Madhya Pradesh"/>
    <n v="23"/>
    <s v="Shivpuri"/>
    <n v="432"/>
    <x v="2"/>
    <x v="2"/>
    <n v="32"/>
    <n v="568"/>
    <n v="2531"/>
    <n v="17.75"/>
    <n v="4.455985915492958"/>
    <n v="79.09375"/>
    <s v="Low"/>
  </r>
  <r>
    <n v="2022"/>
    <s v="Andhra Pradesh"/>
    <n v="28"/>
    <s v="Visakhapatanam"/>
    <n v="520"/>
    <x v="3"/>
    <x v="0"/>
    <n v="0"/>
    <n v="0"/>
    <n v="0"/>
    <n v="0"/>
    <n v="0"/>
    <n v="0"/>
    <s v="Very Low"/>
  </r>
  <r>
    <n v="2022"/>
    <s v="Chhattisgarh"/>
    <n v="22"/>
    <s v="Gariyaband"/>
    <n v="645"/>
    <x v="2"/>
    <x v="1"/>
    <n v="23"/>
    <n v="534"/>
    <n v="564"/>
    <n v="23.217391304347824"/>
    <n v="1.0561797752808988"/>
    <n v="24.521739130434781"/>
    <s v="Low"/>
  </r>
  <r>
    <n v="2022"/>
    <s v="Maharashtra"/>
    <n v="27"/>
    <s v="Gadchiroli"/>
    <n v="475"/>
    <x v="4"/>
    <x v="0"/>
    <n v="38"/>
    <n v="575"/>
    <n v="3326"/>
    <n v="15.131578947368421"/>
    <n v="5.7843478260869565"/>
    <n v="87.526315789473685"/>
    <s v="Low"/>
  </r>
  <r>
    <n v="2022"/>
    <s v="Jammu and Kashmir"/>
    <n v="1"/>
    <s v="Doda"/>
    <n v="4"/>
    <x v="5"/>
    <x v="1"/>
    <n v="0"/>
    <n v="0"/>
    <n v="0"/>
    <n v="0"/>
    <n v="0"/>
    <n v="0"/>
    <s v="Very Low"/>
  </r>
  <r>
    <n v="2022"/>
    <s v="Jharkhand"/>
    <n v="20"/>
    <s v="Ranchi"/>
    <n v="339"/>
    <x v="0"/>
    <x v="0"/>
    <n v="42"/>
    <n v="710"/>
    <n v="2709"/>
    <n v="16.904761904761905"/>
    <n v="3.8154929577464789"/>
    <n v="64.5"/>
    <s v="Low"/>
  </r>
  <r>
    <n v="2022"/>
    <s v="Uttar Pradesh"/>
    <n v="9"/>
    <s v="Lucknow"/>
    <n v="162"/>
    <x v="2"/>
    <x v="1"/>
    <n v="0"/>
    <n v="0"/>
    <n v="0"/>
    <n v="0"/>
    <n v="0"/>
    <n v="0"/>
    <s v="Very Low"/>
  </r>
  <r>
    <n v="2022"/>
    <s v="Uttar Pradesh"/>
    <n v="9"/>
    <s v="Rampur"/>
    <n v="176"/>
    <x v="2"/>
    <x v="1"/>
    <n v="0"/>
    <n v="0"/>
    <n v="0"/>
    <n v="0"/>
    <n v="0"/>
    <n v="0"/>
    <s v="Very Low"/>
  </r>
  <r>
    <n v="2022"/>
    <s v="Puducherry"/>
    <n v="34"/>
    <s v="Yanam"/>
    <n v="601"/>
    <x v="3"/>
    <x v="0"/>
    <n v="0"/>
    <n v="0"/>
    <n v="0"/>
    <n v="0"/>
    <n v="0"/>
    <n v="0"/>
    <s v="Very Low"/>
  </r>
  <r>
    <n v="2022"/>
    <s v="Uttar Pradesh"/>
    <n v="9"/>
    <s v="Jalaun"/>
    <n v="151"/>
    <x v="2"/>
    <x v="1"/>
    <n v="0"/>
    <n v="0"/>
    <n v="0"/>
    <n v="0"/>
    <n v="0"/>
    <n v="0"/>
    <s v="Very Low"/>
  </r>
  <r>
    <n v="2022"/>
    <s v="Uttar Pradesh"/>
    <n v="9"/>
    <s v="Ghaziabad"/>
    <n v="145"/>
    <x v="2"/>
    <x v="0"/>
    <n v="0"/>
    <n v="0"/>
    <n v="0"/>
    <n v="0"/>
    <n v="0"/>
    <n v="0"/>
    <s v="Very Low"/>
  </r>
  <r>
    <n v="2022"/>
    <s v="Odisha"/>
    <n v="21"/>
    <s v="Ganjam"/>
    <n v="354"/>
    <x v="0"/>
    <x v="0"/>
    <n v="0"/>
    <n v="0"/>
    <n v="0"/>
    <n v="0"/>
    <n v="0"/>
    <n v="0"/>
    <s v="Very Low"/>
  </r>
  <r>
    <n v="2022"/>
    <s v="Haryana"/>
    <n v="6"/>
    <s v="Sirsa"/>
    <n v="74"/>
    <x v="5"/>
    <x v="2"/>
    <n v="0"/>
    <n v="0"/>
    <n v="0"/>
    <n v="0"/>
    <n v="0"/>
    <n v="0"/>
    <s v="Very Low"/>
  </r>
  <r>
    <n v="2022"/>
    <s v="Kerala"/>
    <n v="32"/>
    <s v="Thiruvananthapuram"/>
    <n v="565"/>
    <x v="3"/>
    <x v="1"/>
    <n v="7"/>
    <n v="100"/>
    <n v="241"/>
    <n v="14.285714285714286"/>
    <n v="2.41"/>
    <n v="34.428571428571431"/>
    <s v="Low"/>
  </r>
  <r>
    <n v="2022"/>
    <s v="Andhra Pradesh"/>
    <n v="28"/>
    <s v="Krishna"/>
    <n v="510"/>
    <x v="3"/>
    <x v="3"/>
    <n v="0"/>
    <n v="0"/>
    <n v="0"/>
    <n v="0"/>
    <n v="0"/>
    <n v="0"/>
    <s v="Very Low"/>
  </r>
  <r>
    <n v="2022"/>
    <s v="Andhra Pradesh"/>
    <n v="28"/>
    <s v="Chittoor"/>
    <n v="503"/>
    <x v="3"/>
    <x v="2"/>
    <n v="207"/>
    <n v="2586"/>
    <n v="24021"/>
    <n v="12.492753623188406"/>
    <n v="9.288863109048723"/>
    <n v="116.04347826086956"/>
    <s v="Medium"/>
  </r>
  <r>
    <n v="2022"/>
    <s v="Maharashtra"/>
    <n v="27"/>
    <s v="Pune"/>
    <n v="490"/>
    <x v="4"/>
    <x v="1"/>
    <n v="275"/>
    <n v="2612"/>
    <n v="12628"/>
    <n v="9.4981818181818181"/>
    <n v="4.8346094946401221"/>
    <n v="45.92"/>
    <s v="Low"/>
  </r>
  <r>
    <n v="2022"/>
    <s v="Kerala"/>
    <n v="32"/>
    <s v="Pathanamthitta"/>
    <n v="564"/>
    <x v="3"/>
    <x v="1"/>
    <n v="0"/>
    <n v="0"/>
    <n v="0"/>
    <n v="0"/>
    <n v="0"/>
    <n v="0"/>
    <s v="Very Low"/>
  </r>
  <r>
    <n v="2022"/>
    <s v="Mizoram"/>
    <n v="15"/>
    <s v="Lawngtlai"/>
    <n v="264"/>
    <x v="1"/>
    <x v="1"/>
    <n v="0"/>
    <n v="0"/>
    <n v="0"/>
    <n v="0"/>
    <n v="0"/>
    <n v="0"/>
    <s v="Very Low"/>
  </r>
  <r>
    <n v="2022"/>
    <s v="Rajasthan"/>
    <n v="8"/>
    <s v="Banswara"/>
    <n v="88"/>
    <x v="5"/>
    <x v="0"/>
    <n v="0"/>
    <n v="0"/>
    <n v="0"/>
    <n v="0"/>
    <n v="0"/>
    <n v="0"/>
    <s v="Very Low"/>
  </r>
  <r>
    <n v="2022"/>
    <s v="Uttar Pradesh"/>
    <n v="9"/>
    <s v="Moradabad"/>
    <n v="171"/>
    <x v="2"/>
    <x v="2"/>
    <n v="150"/>
    <n v="2073"/>
    <n v="14880"/>
    <n v="13.82"/>
    <n v="7.1780028943560055"/>
    <n v="99.2"/>
    <s v="Medium"/>
  </r>
  <r>
    <n v="2022"/>
    <s v="Bihar"/>
    <n v="10"/>
    <s v="Sheikhpura"/>
    <n v="219"/>
    <x v="0"/>
    <x v="1"/>
    <n v="30"/>
    <n v="297"/>
    <n v="468"/>
    <n v="9.9"/>
    <n v="1.5757575757575757"/>
    <n v="15.6"/>
    <s v="Low"/>
  </r>
  <r>
    <n v="2022"/>
    <s v="Gujarat"/>
    <n v="24"/>
    <s v="Mahesana"/>
    <n v="451"/>
    <x v="4"/>
    <x v="1"/>
    <n v="138"/>
    <n v="1222"/>
    <n v="3382"/>
    <n v="8.8550724637681153"/>
    <n v="2.7675941080196398"/>
    <n v="24.507246376811594"/>
    <s v="Low"/>
  </r>
  <r>
    <n v="2022"/>
    <s v="Bihar"/>
    <n v="10"/>
    <s v="Patna"/>
    <n v="212"/>
    <x v="0"/>
    <x v="3"/>
    <n v="0"/>
    <n v="0"/>
    <n v="0"/>
    <n v="0"/>
    <n v="0"/>
    <n v="0"/>
    <s v="Very Low"/>
  </r>
  <r>
    <n v="2022"/>
    <s v="Uttar Pradesh"/>
    <n v="9"/>
    <s v="Azamgarh"/>
    <n v="123"/>
    <x v="2"/>
    <x v="2"/>
    <n v="51"/>
    <n v="706"/>
    <n v="5012"/>
    <n v="13.843137254901961"/>
    <n v="7.0991501416430598"/>
    <n v="98.274509803921575"/>
    <s v="Medium"/>
  </r>
  <r>
    <n v="2022"/>
    <s v="Andhra Pradesh"/>
    <n v="28"/>
    <s v="Prakasam"/>
    <n v="517"/>
    <x v="3"/>
    <x v="1"/>
    <n v="199"/>
    <n v="2114"/>
    <n v="3921"/>
    <n v="10.623115577889447"/>
    <n v="1.8547776726584673"/>
    <n v="19.7035175879397"/>
    <s v="Low"/>
  </r>
  <r>
    <n v="2022"/>
    <s v="Andhra Pradesh"/>
    <n v="28"/>
    <s v="Prakasam"/>
    <n v="517"/>
    <x v="3"/>
    <x v="1"/>
    <n v="0"/>
    <n v="0"/>
    <n v="0"/>
    <n v="0"/>
    <n v="0"/>
    <n v="0"/>
    <s v="Very Low"/>
  </r>
  <r>
    <n v="2022"/>
    <s v="Assam"/>
    <n v="18"/>
    <s v="Marigaon"/>
    <n v="296"/>
    <x v="1"/>
    <x v="0"/>
    <n v="0"/>
    <n v="0"/>
    <n v="0"/>
    <n v="0"/>
    <n v="0"/>
    <n v="0"/>
    <s v="Very Low"/>
  </r>
  <r>
    <n v="2022"/>
    <s v="Uttar Pradesh"/>
    <n v="9"/>
    <s v="Kheri"/>
    <n v="159"/>
    <x v="2"/>
    <x v="0"/>
    <n v="0"/>
    <n v="0"/>
    <n v="0"/>
    <n v="0"/>
    <n v="0"/>
    <n v="0"/>
    <s v="Very Low"/>
  </r>
  <r>
    <n v="2022"/>
    <s v="Telangana"/>
    <n v="36"/>
    <s v="Jogulamba Gadwal"/>
    <n v="695"/>
    <x v="3"/>
    <x v="1"/>
    <n v="22"/>
    <n v="337"/>
    <n v="372"/>
    <n v="15.318181818181818"/>
    <n v="1.1038575667655786"/>
    <n v="16.90909090909091"/>
    <s v="Low"/>
  </r>
  <r>
    <n v="2022"/>
    <s v="Punjab"/>
    <n v="3"/>
    <s v="Amritsar"/>
    <n v="27"/>
    <x v="5"/>
    <x v="1"/>
    <n v="163"/>
    <n v="1559"/>
    <n v="6813"/>
    <n v="9.5644171779141107"/>
    <n v="4.3701090442591406"/>
    <n v="41.79754601226994"/>
    <s v="Low"/>
  </r>
  <r>
    <n v="2022"/>
    <s v="Punjab"/>
    <n v="3"/>
    <s v="Ludhiana"/>
    <n v="36"/>
    <x v="5"/>
    <x v="2"/>
    <n v="39"/>
    <n v="446"/>
    <n v="3586"/>
    <n v="11.435897435897436"/>
    <n v="8.0403587443946183"/>
    <n v="91.948717948717942"/>
    <s v="Medium"/>
  </r>
  <r>
    <n v="2022"/>
    <s v="Gujarat"/>
    <n v="24"/>
    <s v="Porbandar"/>
    <n v="456"/>
    <x v="4"/>
    <x v="2"/>
    <n v="45"/>
    <n v="591"/>
    <n v="7373"/>
    <n v="13.133333333333333"/>
    <n v="12.475465313028765"/>
    <n v="163.84444444444443"/>
    <s v="High"/>
  </r>
  <r>
    <n v="2022"/>
    <s v="Uttar Pradesh"/>
    <n v="9"/>
    <s v="Lucknow"/>
    <n v="162"/>
    <x v="2"/>
    <x v="0"/>
    <n v="0"/>
    <n v="0"/>
    <n v="0"/>
    <n v="0"/>
    <n v="0"/>
    <n v="0"/>
    <s v="Very Low"/>
  </r>
  <r>
    <n v="2022"/>
    <s v="Rajasthan"/>
    <n v="8"/>
    <s v="Nagaur"/>
    <n v="110"/>
    <x v="5"/>
    <x v="1"/>
    <n v="0"/>
    <n v="0"/>
    <n v="0"/>
    <n v="0"/>
    <n v="0"/>
    <n v="0"/>
    <s v="Very Low"/>
  </r>
  <r>
    <n v="2022"/>
    <s v="Uttar Pradesh"/>
    <n v="9"/>
    <s v="Chitrakoot"/>
    <n v="136"/>
    <x v="2"/>
    <x v="1"/>
    <n v="43"/>
    <n v="688"/>
    <n v="1162"/>
    <n v="16"/>
    <n v="1.6889534883720929"/>
    <n v="27.023255813953487"/>
    <s v="Low"/>
  </r>
  <r>
    <n v="2022"/>
    <s v="Tripura"/>
    <n v="16"/>
    <s v="North Tripura"/>
    <n v="270"/>
    <x v="1"/>
    <x v="0"/>
    <n v="0"/>
    <n v="0"/>
    <n v="0"/>
    <n v="0"/>
    <n v="0"/>
    <n v="0"/>
    <s v="Very Low"/>
  </r>
  <r>
    <n v="2022"/>
    <s v="Tamil Nadu"/>
    <n v="33"/>
    <s v="Chennai"/>
    <n v="568"/>
    <x v="3"/>
    <x v="3"/>
    <n v="0"/>
    <n v="0"/>
    <n v="0"/>
    <n v="0"/>
    <n v="0"/>
    <n v="0"/>
    <s v="Very Low"/>
  </r>
  <r>
    <n v="2022"/>
    <s v="Bihar"/>
    <n v="10"/>
    <s v="Saran"/>
    <n v="218"/>
    <x v="0"/>
    <x v="1"/>
    <n v="162"/>
    <n v="10138"/>
    <n v="6462"/>
    <n v="62.580246913580247"/>
    <n v="0.63740382718484911"/>
    <n v="39.888888888888886"/>
    <s v="Very Low"/>
  </r>
  <r>
    <n v="2022"/>
    <s v="Gujarat"/>
    <n v="24"/>
    <s v="Bhavnagar"/>
    <n v="443"/>
    <x v="4"/>
    <x v="1"/>
    <n v="78"/>
    <n v="943"/>
    <n v="2433"/>
    <n v="12.089743589743589"/>
    <n v="2.5800636267232235"/>
    <n v="31.192307692307693"/>
    <s v="Low"/>
  </r>
  <r>
    <n v="2022"/>
    <s v="Telangana"/>
    <n v="36"/>
    <s v="Nalgonda"/>
    <n v="514"/>
    <x v="3"/>
    <x v="0"/>
    <n v="0"/>
    <n v="0"/>
    <n v="0"/>
    <n v="0"/>
    <n v="0"/>
    <n v="0"/>
    <s v="Very Low"/>
  </r>
  <r>
    <n v="2022"/>
    <s v="Telangana"/>
    <n v="36"/>
    <s v="Rajanna Sircilla"/>
    <n v="683"/>
    <x v="3"/>
    <x v="0"/>
    <n v="0"/>
    <n v="0"/>
    <n v="0"/>
    <n v="0"/>
    <n v="0"/>
    <n v="0"/>
    <s v="Very Low"/>
  </r>
  <r>
    <n v="2022"/>
    <s v="Madhya Pradesh"/>
    <n v="23"/>
    <s v="Morena"/>
    <n v="417"/>
    <x v="2"/>
    <x v="2"/>
    <n v="25"/>
    <n v="637"/>
    <n v="2437"/>
    <n v="25.48"/>
    <n v="3.8257456828885399"/>
    <n v="97.48"/>
    <s v="Low"/>
  </r>
  <r>
    <n v="2022"/>
    <s v="Manipur"/>
    <n v="14"/>
    <s v="Thoubal"/>
    <n v="259"/>
    <x v="1"/>
    <x v="1"/>
    <n v="7"/>
    <n v="124"/>
    <n v="73"/>
    <n v="17.714285714285715"/>
    <n v="0.58870967741935487"/>
    <n v="10.428571428571429"/>
    <s v="Very Low"/>
  </r>
  <r>
    <n v="2022"/>
    <s v="West Bengal"/>
    <n v="19"/>
    <s v="Coochbehar"/>
    <n v="308"/>
    <x v="0"/>
    <x v="1"/>
    <n v="0"/>
    <n v="0"/>
    <n v="0"/>
    <n v="0"/>
    <n v="0"/>
    <n v="0"/>
    <s v="Very Low"/>
  </r>
  <r>
    <n v="2022"/>
    <s v="Andhra Pradesh"/>
    <n v="28"/>
    <s v="Srikakulam"/>
    <n v="519"/>
    <x v="3"/>
    <x v="1"/>
    <n v="0"/>
    <n v="0"/>
    <n v="0"/>
    <n v="0"/>
    <n v="0"/>
    <n v="0"/>
    <s v="Very Low"/>
  </r>
  <r>
    <n v="2022"/>
    <s v="Kerala"/>
    <n v="32"/>
    <s v="Palakkad"/>
    <n v="563"/>
    <x v="3"/>
    <x v="0"/>
    <n v="0"/>
    <n v="0"/>
    <n v="0"/>
    <n v="0"/>
    <n v="0"/>
    <n v="0"/>
    <s v="Very Low"/>
  </r>
  <r>
    <n v="2022"/>
    <s v="Telangana"/>
    <n v="36"/>
    <s v="Nagarkurnool"/>
    <n v="694"/>
    <x v="3"/>
    <x v="1"/>
    <n v="0"/>
    <n v="0"/>
    <n v="0"/>
    <n v="0"/>
    <n v="0"/>
    <n v="0"/>
    <s v="Very Low"/>
  </r>
  <r>
    <n v="2022"/>
    <s v="Arunachal Pradesh"/>
    <n v="12"/>
    <s v="Upper Siang"/>
    <n v="240"/>
    <x v="1"/>
    <x v="1"/>
    <n v="0"/>
    <n v="0"/>
    <n v="0"/>
    <n v="0"/>
    <n v="0"/>
    <n v="0"/>
    <s v="Very Low"/>
  </r>
  <r>
    <n v="2022"/>
    <s v="Karnataka"/>
    <n v="29"/>
    <s v="Tumakuru"/>
    <n v="548"/>
    <x v="3"/>
    <x v="0"/>
    <n v="100"/>
    <n v="1715"/>
    <n v="4591"/>
    <n v="17.149999999999999"/>
    <n v="2.6769679300291545"/>
    <n v="45.91"/>
    <s v="Low"/>
  </r>
  <r>
    <n v="2022"/>
    <s v="Odisha"/>
    <n v="21"/>
    <s v="Anugul"/>
    <n v="344"/>
    <x v="0"/>
    <x v="0"/>
    <n v="74"/>
    <n v="975"/>
    <n v="8351"/>
    <n v="13.175675675675675"/>
    <n v="8.5651282051282056"/>
    <n v="112.85135135135135"/>
    <s v="Medium"/>
  </r>
  <r>
    <n v="2022"/>
    <s v="Telangana"/>
    <n v="36"/>
    <s v="Jagitial"/>
    <n v="681"/>
    <x v="3"/>
    <x v="2"/>
    <n v="27"/>
    <n v="366"/>
    <n v="1463"/>
    <n v="13.555555555555555"/>
    <n v="3.9972677595628414"/>
    <n v="54.185185185185183"/>
    <s v="Low"/>
  </r>
  <r>
    <n v="2022"/>
    <s v="Mizoram"/>
    <n v="15"/>
    <s v="Saiha"/>
    <n v="267"/>
    <x v="1"/>
    <x v="0"/>
    <n v="0"/>
    <n v="0"/>
    <n v="0"/>
    <n v="0"/>
    <n v="0"/>
    <n v="0"/>
    <s v="Very Low"/>
  </r>
  <r>
    <n v="2022"/>
    <s v="Punjab"/>
    <n v="3"/>
    <s v="Patiala"/>
    <n v="41"/>
    <x v="5"/>
    <x v="1"/>
    <n v="0"/>
    <n v="0"/>
    <n v="0"/>
    <n v="0"/>
    <n v="0"/>
    <n v="0"/>
    <s v="Very Low"/>
  </r>
  <r>
    <n v="2022"/>
    <s v="Madhya Pradesh"/>
    <n v="23"/>
    <s v="Niwari"/>
    <n v="722"/>
    <x v="2"/>
    <x v="1"/>
    <n v="0"/>
    <n v="0"/>
    <n v="0"/>
    <n v="0"/>
    <n v="0"/>
    <n v="0"/>
    <s v="Very Low"/>
  </r>
  <r>
    <n v="2022"/>
    <s v="Uttar Pradesh"/>
    <n v="9"/>
    <s v="Jaunpur"/>
    <n v="152"/>
    <x v="2"/>
    <x v="2"/>
    <n v="48"/>
    <n v="776"/>
    <n v="5306"/>
    <n v="16.166666666666668"/>
    <n v="6.8376288659793811"/>
    <n v="110.54166666666667"/>
    <s v="Low"/>
  </r>
  <r>
    <n v="2022"/>
    <s v="Telangana"/>
    <n v="36"/>
    <s v="Khammam"/>
    <n v="509"/>
    <x v="3"/>
    <x v="2"/>
    <n v="0"/>
    <n v="0"/>
    <n v="0"/>
    <n v="0"/>
    <n v="0"/>
    <n v="0"/>
    <s v="Very Low"/>
  </r>
  <r>
    <n v="2022"/>
    <s v="Andaman and Nicobar Islands"/>
    <n v="35"/>
    <s v="South Andamans"/>
    <n v="602"/>
    <x v="0"/>
    <x v="0"/>
    <n v="10"/>
    <n v="64"/>
    <n v="463"/>
    <n v="6.4"/>
    <n v="7.234375"/>
    <n v="46.3"/>
    <s v="Medium"/>
  </r>
  <r>
    <n v="2022"/>
    <s v="Gujarat"/>
    <n v="24"/>
    <s v="Vadodara"/>
    <n v="461"/>
    <x v="4"/>
    <x v="3"/>
    <n v="517"/>
    <n v="6308"/>
    <n v="106894"/>
    <n v="12.201160541586074"/>
    <n v="16.945783132530121"/>
    <n v="206.75822050290137"/>
    <s v="High"/>
  </r>
  <r>
    <n v="2022"/>
    <s v="Rajasthan"/>
    <n v="8"/>
    <s v="Sirohi"/>
    <n v="115"/>
    <x v="5"/>
    <x v="0"/>
    <n v="68"/>
    <n v="940"/>
    <n v="5005"/>
    <n v="13.823529411764707"/>
    <n v="5.3244680851063828"/>
    <n v="73.602941176470594"/>
    <s v="Low"/>
  </r>
  <r>
    <n v="2022"/>
    <s v="Telangana"/>
    <n v="36"/>
    <s v="Warangal Rural"/>
    <n v="522"/>
    <x v="3"/>
    <x v="1"/>
    <n v="0"/>
    <n v="0"/>
    <n v="0"/>
    <n v="0"/>
    <n v="0"/>
    <n v="0"/>
    <s v="Very Low"/>
  </r>
  <r>
    <n v="2022"/>
    <s v="Andhra Pradesh"/>
    <n v="28"/>
    <s v="Anantapur"/>
    <n v="502"/>
    <x v="3"/>
    <x v="0"/>
    <n v="124"/>
    <n v="2549"/>
    <n v="6301"/>
    <n v="20.556451612903224"/>
    <n v="2.4719497842291096"/>
    <n v="50.814516129032256"/>
    <s v="Low"/>
  </r>
  <r>
    <n v="2022"/>
    <s v="Tamil Nadu"/>
    <n v="33"/>
    <s v="Vellore"/>
    <n v="595"/>
    <x v="3"/>
    <x v="1"/>
    <n v="62"/>
    <n v="896"/>
    <n v="1697"/>
    <n v="14.451612903225806"/>
    <n v="1.8939732142857142"/>
    <n v="27.370967741935484"/>
    <s v="Low"/>
  </r>
  <r>
    <n v="2022"/>
    <s v="West Bengal"/>
    <n v="19"/>
    <s v="Nadia"/>
    <n v="320"/>
    <x v="0"/>
    <x v="2"/>
    <n v="0"/>
    <n v="0"/>
    <n v="0"/>
    <n v="0"/>
    <n v="0"/>
    <n v="0"/>
    <s v="Very Low"/>
  </r>
  <r>
    <n v="2022"/>
    <s v="Karnataka"/>
    <n v="29"/>
    <s v="Koppal"/>
    <n v="543"/>
    <x v="3"/>
    <x v="2"/>
    <n v="0"/>
    <n v="0"/>
    <n v="0"/>
    <n v="0"/>
    <n v="0"/>
    <n v="0"/>
    <s v="Very Low"/>
  </r>
  <r>
    <n v="2022"/>
    <s v="Kerala"/>
    <n v="32"/>
    <s v="Malappuram"/>
    <n v="562"/>
    <x v="3"/>
    <x v="2"/>
    <n v="0"/>
    <n v="0"/>
    <n v="0"/>
    <n v="0"/>
    <n v="0"/>
    <n v="0"/>
    <s v="Very Low"/>
  </r>
  <r>
    <n v="2022"/>
    <s v="West Bengal"/>
    <n v="19"/>
    <s v="Alipurduar"/>
    <n v="664"/>
    <x v="0"/>
    <x v="0"/>
    <n v="51"/>
    <n v="1087"/>
    <n v="2952"/>
    <n v="21.313725490196077"/>
    <n v="2.71573137074517"/>
    <n v="57.882352941176471"/>
    <s v="Low"/>
  </r>
  <r>
    <n v="2022"/>
    <s v="Odisha"/>
    <n v="21"/>
    <s v="Ganjam"/>
    <n v="354"/>
    <x v="0"/>
    <x v="2"/>
    <n v="107"/>
    <n v="1146"/>
    <n v="10771"/>
    <n v="10.710280373831775"/>
    <n v="9.3987783595113434"/>
    <n v="100.66355140186916"/>
    <s v="Medium"/>
  </r>
  <r>
    <n v="2022"/>
    <s v="Haryana"/>
    <n v="6"/>
    <s v="Faridabad"/>
    <n v="60"/>
    <x v="5"/>
    <x v="1"/>
    <n v="41"/>
    <n v="412"/>
    <n v="1948"/>
    <n v="10.048780487804878"/>
    <n v="4.7281553398058254"/>
    <n v="47.512195121951223"/>
    <s v="Low"/>
  </r>
  <r>
    <n v="2022"/>
    <s v="Telangana"/>
    <n v="36"/>
    <s v="Mulugu"/>
    <n v="720"/>
    <x v="3"/>
    <x v="1"/>
    <n v="0"/>
    <n v="0"/>
    <n v="0"/>
    <n v="0"/>
    <n v="0"/>
    <n v="0"/>
    <s v="Very Low"/>
  </r>
  <r>
    <n v="2022"/>
    <s v="Bihar"/>
    <n v="10"/>
    <s v="Nalanda"/>
    <n v="209"/>
    <x v="0"/>
    <x v="0"/>
    <n v="60"/>
    <n v="1191"/>
    <n v="3210"/>
    <n v="19.850000000000001"/>
    <n v="2.6952141057934509"/>
    <n v="53.5"/>
    <s v="Low"/>
  </r>
  <r>
    <n v="2022"/>
    <s v="Assam"/>
    <n v="18"/>
    <s v="Karimganj"/>
    <n v="293"/>
    <x v="1"/>
    <x v="1"/>
    <n v="53"/>
    <n v="1211"/>
    <n v="1373"/>
    <n v="22.849056603773583"/>
    <n v="1.1337737407101569"/>
    <n v="25.90566037735849"/>
    <s v="Low"/>
  </r>
  <r>
    <n v="2022"/>
    <s v="Bihar"/>
    <n v="10"/>
    <s v="Munger"/>
    <n v="207"/>
    <x v="0"/>
    <x v="1"/>
    <n v="60"/>
    <n v="960"/>
    <n v="1962"/>
    <n v="16"/>
    <n v="2.0437500000000002"/>
    <n v="32.700000000000003"/>
    <s v="Low"/>
  </r>
  <r>
    <n v="2022"/>
    <s v="Telangana"/>
    <n v="36"/>
    <s v="Kamareddy"/>
    <n v="685"/>
    <x v="3"/>
    <x v="0"/>
    <n v="49"/>
    <n v="712"/>
    <n v="2043"/>
    <n v="14.530612244897959"/>
    <n v="2.86938202247191"/>
    <n v="41.693877551020407"/>
    <s v="Low"/>
  </r>
  <r>
    <n v="2022"/>
    <s v="Tamil Nadu"/>
    <n v="33"/>
    <s v="Tirupathur"/>
    <n v="732"/>
    <x v="3"/>
    <x v="0"/>
    <n v="58"/>
    <n v="1008"/>
    <n v="2676"/>
    <n v="17.379310344827587"/>
    <n v="2.6547619047619047"/>
    <n v="46.137931034482762"/>
    <s v="Low"/>
  </r>
  <r>
    <n v="2022"/>
    <s v="Odisha"/>
    <n v="21"/>
    <s v="Deogarh"/>
    <n v="351"/>
    <x v="0"/>
    <x v="0"/>
    <n v="18"/>
    <n v="187"/>
    <n v="783"/>
    <n v="10.388888888888889"/>
    <n v="4.1871657754010698"/>
    <n v="43.5"/>
    <s v="Low"/>
  </r>
  <r>
    <n v="2022"/>
    <s v="Chhattisgarh"/>
    <n v="22"/>
    <s v="Surajpur"/>
    <n v="648"/>
    <x v="2"/>
    <x v="0"/>
    <n v="0"/>
    <n v="0"/>
    <n v="0"/>
    <n v="0"/>
    <n v="0"/>
    <n v="0"/>
    <s v="Very Low"/>
  </r>
  <r>
    <n v="2022"/>
    <s v="Madhya Pradesh"/>
    <n v="23"/>
    <s v="Balaghat"/>
    <n v="392"/>
    <x v="2"/>
    <x v="1"/>
    <n v="0"/>
    <n v="0"/>
    <n v="0"/>
    <n v="0"/>
    <n v="0"/>
    <n v="0"/>
    <s v="Very Low"/>
  </r>
  <r>
    <n v="2022"/>
    <s v="Bihar"/>
    <n v="10"/>
    <s v="Nawada"/>
    <n v="210"/>
    <x v="0"/>
    <x v="0"/>
    <n v="0"/>
    <n v="0"/>
    <n v="0"/>
    <n v="0"/>
    <n v="0"/>
    <n v="0"/>
    <s v="Very Low"/>
  </r>
  <r>
    <n v="2022"/>
    <s v="Odisha"/>
    <n v="21"/>
    <s v="Deogarh"/>
    <n v="351"/>
    <x v="0"/>
    <x v="1"/>
    <n v="0"/>
    <n v="0"/>
    <n v="0"/>
    <n v="0"/>
    <n v="0"/>
    <n v="0"/>
    <s v="Very Low"/>
  </r>
  <r>
    <n v="2022"/>
    <s v="Maharashtra"/>
    <n v="27"/>
    <s v="Jalgaon"/>
    <n v="478"/>
    <x v="4"/>
    <x v="2"/>
    <n v="0"/>
    <n v="0"/>
    <n v="0"/>
    <n v="0"/>
    <n v="0"/>
    <n v="0"/>
    <s v="Very Low"/>
  </r>
  <r>
    <n v="2022"/>
    <s v="Chhattisgarh"/>
    <n v="22"/>
    <s v="Mungeli"/>
    <n v="647"/>
    <x v="2"/>
    <x v="1"/>
    <n v="0"/>
    <n v="0"/>
    <n v="0"/>
    <n v="0"/>
    <n v="0"/>
    <n v="0"/>
    <s v="Very Low"/>
  </r>
  <r>
    <n v="2022"/>
    <s v="Chhattisgarh"/>
    <n v="22"/>
    <s v="Jashpur"/>
    <n v="380"/>
    <x v="2"/>
    <x v="0"/>
    <n v="41"/>
    <n v="700"/>
    <n v="2015"/>
    <n v="17.073170731707318"/>
    <n v="2.8785714285714286"/>
    <n v="49.146341463414636"/>
    <s v="Low"/>
  </r>
  <r>
    <n v="2022"/>
    <s v="Manipur"/>
    <n v="14"/>
    <s v="Imphal East"/>
    <n v="255"/>
    <x v="1"/>
    <x v="2"/>
    <n v="0"/>
    <n v="0"/>
    <n v="0"/>
    <n v="0"/>
    <n v="0"/>
    <n v="0"/>
    <s v="Very Low"/>
  </r>
  <r>
    <n v="2022"/>
    <s v="Nagaland"/>
    <n v="13"/>
    <s v="Mokokchung"/>
    <n v="246"/>
    <x v="1"/>
    <x v="0"/>
    <n v="0"/>
    <n v="0"/>
    <n v="0"/>
    <n v="0"/>
    <n v="0"/>
    <n v="0"/>
    <s v="Very Low"/>
  </r>
  <r>
    <n v="2022"/>
    <s v="Tamil Nadu"/>
    <n v="33"/>
    <s v="Tiruvannamalai"/>
    <n v="593"/>
    <x v="3"/>
    <x v="2"/>
    <n v="43"/>
    <n v="659"/>
    <n v="2791"/>
    <n v="15.325581395348838"/>
    <n v="4.2352048558421851"/>
    <n v="64.906976744186053"/>
    <s v="Low"/>
  </r>
  <r>
    <n v="2022"/>
    <s v="West Bengal"/>
    <n v="19"/>
    <s v="Bankura"/>
    <n v="305"/>
    <x v="0"/>
    <x v="1"/>
    <n v="0"/>
    <n v="0"/>
    <n v="0"/>
    <n v="0"/>
    <n v="0"/>
    <n v="0"/>
    <s v="Very Low"/>
  </r>
  <r>
    <n v="2022"/>
    <s v="Maharashtra"/>
    <n v="27"/>
    <s v="Nandurbar"/>
    <n v="486"/>
    <x v="4"/>
    <x v="0"/>
    <n v="23"/>
    <n v="737"/>
    <n v="2036"/>
    <n v="32.043478260869563"/>
    <n v="2.7625508819538669"/>
    <n v="88.521739130434781"/>
    <s v="Low"/>
  </r>
  <r>
    <n v="2022"/>
    <s v="Tamil Nadu"/>
    <n v="33"/>
    <s v="Vellore"/>
    <n v="595"/>
    <x v="3"/>
    <x v="2"/>
    <n v="77"/>
    <n v="885"/>
    <n v="8067"/>
    <n v="11.493506493506494"/>
    <n v="9.115254237288136"/>
    <n v="104.76623376623377"/>
    <s v="Medium"/>
  </r>
  <r>
    <n v="2022"/>
    <s v="Kerala"/>
    <n v="32"/>
    <s v="Palakkad"/>
    <n v="563"/>
    <x v="3"/>
    <x v="1"/>
    <n v="35"/>
    <n v="303"/>
    <n v="1042"/>
    <n v="8.6571428571428566"/>
    <n v="3.438943894389439"/>
    <n v="29.771428571428572"/>
    <s v="Low"/>
  </r>
  <r>
    <n v="2022"/>
    <s v="Tamil Nadu"/>
    <n v="33"/>
    <s v="Coimbatore"/>
    <n v="569"/>
    <x v="3"/>
    <x v="3"/>
    <n v="509"/>
    <n v="4980"/>
    <n v="62046"/>
    <n v="9.783889980353635"/>
    <n v="12.459036144578313"/>
    <n v="121.89783889980353"/>
    <s v="High"/>
  </r>
  <r>
    <n v="2022"/>
    <s v="Tamil Nadu"/>
    <n v="33"/>
    <s v="Villupuram"/>
    <n v="596"/>
    <x v="3"/>
    <x v="1"/>
    <n v="0"/>
    <n v="0"/>
    <n v="0"/>
    <n v="0"/>
    <n v="0"/>
    <n v="0"/>
    <s v="Very Low"/>
  </r>
  <r>
    <n v="2022"/>
    <s v="Telangana"/>
    <n v="36"/>
    <s v="Vikarabad"/>
    <n v="698"/>
    <x v="3"/>
    <x v="1"/>
    <n v="0"/>
    <n v="0"/>
    <n v="0"/>
    <n v="0"/>
    <n v="0"/>
    <n v="0"/>
    <s v="Very Low"/>
  </r>
  <r>
    <n v="2022"/>
    <s v="Haryana"/>
    <n v="6"/>
    <s v="Gurugram"/>
    <n v="62"/>
    <x v="5"/>
    <x v="0"/>
    <n v="103"/>
    <n v="1365"/>
    <n v="13049"/>
    <n v="13.25242718446602"/>
    <n v="9.5597069597069595"/>
    <n v="126.68932038834951"/>
    <s v="Medium"/>
  </r>
  <r>
    <n v="2022"/>
    <s v="Bihar"/>
    <n v="10"/>
    <s v="Buxar"/>
    <n v="194"/>
    <x v="0"/>
    <x v="2"/>
    <n v="0"/>
    <n v="0"/>
    <n v="0"/>
    <n v="0"/>
    <n v="0"/>
    <n v="0"/>
    <s v="Very Low"/>
  </r>
  <r>
    <n v="2022"/>
    <s v="Odisha"/>
    <n v="21"/>
    <s v="Balangir"/>
    <n v="345"/>
    <x v="0"/>
    <x v="1"/>
    <n v="0"/>
    <n v="0"/>
    <n v="0"/>
    <n v="0"/>
    <n v="0"/>
    <n v="0"/>
    <s v="Very Low"/>
  </r>
  <r>
    <n v="2022"/>
    <s v="Tamil Nadu"/>
    <n v="33"/>
    <s v="Tirunelveli"/>
    <n v="592"/>
    <x v="3"/>
    <x v="0"/>
    <n v="0"/>
    <n v="0"/>
    <n v="0"/>
    <n v="0"/>
    <n v="0"/>
    <n v="0"/>
    <s v="Very Low"/>
  </r>
  <r>
    <n v="2022"/>
    <s v="Chhattisgarh"/>
    <n v="22"/>
    <s v="Gaurella Pendra Marwahi"/>
    <n v="734"/>
    <x v="2"/>
    <x v="1"/>
    <n v="7"/>
    <n v="196"/>
    <n v="253"/>
    <n v="28"/>
    <n v="1.2908163265306123"/>
    <n v="36.142857142857146"/>
    <s v="Low"/>
  </r>
  <r>
    <n v="2022"/>
    <s v="Delhi"/>
    <n v="7"/>
    <s v="North West"/>
    <n v="82"/>
    <x v="5"/>
    <x v="2"/>
    <n v="19"/>
    <n v="380"/>
    <n v="3612"/>
    <n v="20"/>
    <n v="9.5052631578947366"/>
    <n v="190.10526315789474"/>
    <s v="Medium"/>
  </r>
  <r>
    <n v="2022"/>
    <s v="Jammu and Kashmir"/>
    <n v="1"/>
    <s v="Ganderbal"/>
    <n v="626"/>
    <x v="5"/>
    <x v="0"/>
    <n v="0"/>
    <n v="0"/>
    <n v="0"/>
    <n v="0"/>
    <n v="0"/>
    <n v="0"/>
    <s v="Very Low"/>
  </r>
  <r>
    <n v="2022"/>
    <s v="Kerala"/>
    <n v="32"/>
    <s v="Thiruvananthapuram"/>
    <n v="565"/>
    <x v="3"/>
    <x v="2"/>
    <n v="0"/>
    <n v="0"/>
    <n v="0"/>
    <n v="0"/>
    <n v="0"/>
    <n v="0"/>
    <s v="Very Low"/>
  </r>
  <r>
    <n v="2022"/>
    <s v="Haryana"/>
    <n v="6"/>
    <s v="Panipat"/>
    <n v="71"/>
    <x v="5"/>
    <x v="0"/>
    <n v="0"/>
    <n v="0"/>
    <n v="0"/>
    <n v="0"/>
    <n v="0"/>
    <n v="0"/>
    <s v="Very Low"/>
  </r>
  <r>
    <n v="2022"/>
    <s v="Andhra Pradesh"/>
    <n v="28"/>
    <s v="Krishna"/>
    <n v="510"/>
    <x v="3"/>
    <x v="0"/>
    <n v="239"/>
    <n v="2827"/>
    <n v="10649"/>
    <n v="11.828451882845188"/>
    <n v="3.7668906968517861"/>
    <n v="44.556485355648533"/>
    <s v="Low"/>
  </r>
  <r>
    <n v="2022"/>
    <s v="Uttar Pradesh"/>
    <n v="9"/>
    <s v="Deoria"/>
    <n v="137"/>
    <x v="2"/>
    <x v="1"/>
    <n v="0"/>
    <n v="0"/>
    <n v="0"/>
    <n v="0"/>
    <n v="0"/>
    <n v="0"/>
    <s v="Very Low"/>
  </r>
  <r>
    <n v="2022"/>
    <s v="Madhya Pradesh"/>
    <n v="23"/>
    <s v="Panna"/>
    <n v="420"/>
    <x v="2"/>
    <x v="1"/>
    <n v="0"/>
    <n v="0"/>
    <n v="0"/>
    <n v="0"/>
    <n v="0"/>
    <n v="0"/>
    <s v="Very Low"/>
  </r>
  <r>
    <n v="2022"/>
    <s v="Uttar Pradesh"/>
    <n v="9"/>
    <s v="Gorakhpur"/>
    <n v="148"/>
    <x v="2"/>
    <x v="2"/>
    <n v="198"/>
    <n v="2695"/>
    <n v="23382"/>
    <n v="13.611111111111111"/>
    <n v="8.6760667903525039"/>
    <n v="118.09090909090909"/>
    <s v="Medium"/>
  </r>
  <r>
    <n v="2022"/>
    <s v="Karnataka"/>
    <n v="29"/>
    <s v="Bijapur"/>
    <n v="636"/>
    <x v="3"/>
    <x v="1"/>
    <n v="0"/>
    <n v="0"/>
    <n v="0"/>
    <n v="0"/>
    <n v="0"/>
    <n v="0"/>
    <s v="Very Low"/>
  </r>
  <r>
    <n v="2022"/>
    <s v="Jammu and Kashmir"/>
    <n v="1"/>
    <s v="Jammu"/>
    <n v="5"/>
    <x v="5"/>
    <x v="2"/>
    <n v="267"/>
    <n v="2804"/>
    <n v="43498"/>
    <n v="10.50187265917603"/>
    <n v="15.51283880171184"/>
    <n v="162.91385767790263"/>
    <s v="High"/>
  </r>
  <r>
    <n v="2022"/>
    <s v="Jharkhand"/>
    <n v="20"/>
    <s v="East Singhbum"/>
    <n v="327"/>
    <x v="0"/>
    <x v="1"/>
    <n v="75"/>
    <n v="1209"/>
    <n v="2634"/>
    <n v="16.12"/>
    <n v="2.1786600496277915"/>
    <n v="35.119999999999997"/>
    <s v="Low"/>
  </r>
  <r>
    <n v="2022"/>
    <s v="West Bengal"/>
    <n v="19"/>
    <s v="Paschim Bardhaman"/>
    <n v="704"/>
    <x v="0"/>
    <x v="1"/>
    <n v="0"/>
    <n v="0"/>
    <n v="0"/>
    <n v="0"/>
    <n v="0"/>
    <n v="0"/>
    <s v="Very Low"/>
  </r>
  <r>
    <n v="2022"/>
    <s v="Bihar"/>
    <n v="10"/>
    <s v="Banka"/>
    <n v="190"/>
    <x v="0"/>
    <x v="1"/>
    <n v="71"/>
    <n v="1797"/>
    <n v="2340"/>
    <n v="25.309859154929576"/>
    <n v="1.3021702838063438"/>
    <n v="32.95774647887324"/>
    <s v="Low"/>
  </r>
  <r>
    <n v="2022"/>
    <s v="Chhattisgarh"/>
    <n v="22"/>
    <s v="Balrampur"/>
    <n v="649"/>
    <x v="2"/>
    <x v="1"/>
    <n v="0"/>
    <n v="0"/>
    <n v="0"/>
    <n v="0"/>
    <n v="0"/>
    <n v="0"/>
    <s v="Very Low"/>
  </r>
  <r>
    <n v="2022"/>
    <s v="Rajasthan"/>
    <n v="8"/>
    <s v="Sawai Madhopur"/>
    <n v="113"/>
    <x v="5"/>
    <x v="0"/>
    <n v="0"/>
    <n v="0"/>
    <n v="0"/>
    <n v="0"/>
    <n v="0"/>
    <n v="0"/>
    <s v="Very Low"/>
  </r>
  <r>
    <n v="2022"/>
    <s v="Himachal Pradesh"/>
    <n v="2"/>
    <s v="Lahul and Spiti"/>
    <n v="21"/>
    <x v="5"/>
    <x v="1"/>
    <n v="16"/>
    <n v="65"/>
    <n v="610"/>
    <n v="4.0625"/>
    <n v="9.384615384615385"/>
    <n v="38.125"/>
    <s v="Medium"/>
  </r>
  <r>
    <n v="2022"/>
    <s v="Chhattisgarh"/>
    <n v="22"/>
    <s v="Mungeli"/>
    <n v="647"/>
    <x v="2"/>
    <x v="0"/>
    <n v="22"/>
    <n v="545"/>
    <n v="1029"/>
    <n v="24.772727272727273"/>
    <n v="1.8880733944954129"/>
    <n v="46.772727272727273"/>
    <s v="Low"/>
  </r>
  <r>
    <n v="2022"/>
    <s v="Arunachal Pradesh"/>
    <n v="12"/>
    <s v="Papum Pare"/>
    <n v="237"/>
    <x v="1"/>
    <x v="1"/>
    <n v="0"/>
    <n v="0"/>
    <n v="0"/>
    <n v="0"/>
    <n v="0"/>
    <n v="0"/>
    <s v="Very Low"/>
  </r>
  <r>
    <n v="2021"/>
    <s v="Tamil Nadu"/>
    <n v="33"/>
    <s v="Kallakurichi"/>
    <n v="729"/>
    <x v="3"/>
    <x v="0"/>
    <n v="0"/>
    <n v="0"/>
    <n v="0"/>
    <n v="0"/>
    <n v="0"/>
    <n v="0"/>
    <s v="Very Low"/>
  </r>
  <r>
    <n v="2021"/>
    <s v="Uttar Pradesh"/>
    <n v="9"/>
    <s v="Kanpur Nagar"/>
    <n v="157"/>
    <x v="2"/>
    <x v="3"/>
    <n v="0"/>
    <n v="0"/>
    <n v="0"/>
    <n v="0"/>
    <n v="0"/>
    <n v="0"/>
    <s v="Very Low"/>
  </r>
  <r>
    <n v="2021"/>
    <s v="West Bengal"/>
    <n v="19"/>
    <s v="Murshidabad"/>
    <n v="319"/>
    <x v="0"/>
    <x v="0"/>
    <n v="221"/>
    <n v="5071"/>
    <n v="8610"/>
    <n v="22.945701357466064"/>
    <n v="1.6978899625320449"/>
    <n v="38.959276018099544"/>
    <s v="Low"/>
  </r>
  <r>
    <n v="2021"/>
    <s v="Gujarat"/>
    <n v="24"/>
    <s v="Mahesana"/>
    <n v="451"/>
    <x v="4"/>
    <x v="2"/>
    <n v="0"/>
    <n v="0"/>
    <n v="0"/>
    <n v="0"/>
    <n v="0"/>
    <n v="0"/>
    <s v="Very Low"/>
  </r>
  <r>
    <n v="2021"/>
    <s v="Telangana"/>
    <n v="36"/>
    <s v="Warangal Rural"/>
    <n v="522"/>
    <x v="3"/>
    <x v="0"/>
    <n v="0"/>
    <n v="0"/>
    <n v="0"/>
    <n v="0"/>
    <n v="0"/>
    <n v="0"/>
    <s v="Very Low"/>
  </r>
  <r>
    <n v="2021"/>
    <s v="Uttar Pradesh"/>
    <n v="9"/>
    <s v="Mirzapur"/>
    <n v="170"/>
    <x v="2"/>
    <x v="2"/>
    <n v="49"/>
    <n v="672"/>
    <n v="3815"/>
    <n v="13.714285714285714"/>
    <n v="5.677083333333333"/>
    <n v="77.857142857142861"/>
    <s v="Low"/>
  </r>
  <r>
    <n v="2021"/>
    <s v="Karnataka"/>
    <n v="29"/>
    <s v="Koppal"/>
    <n v="543"/>
    <x v="3"/>
    <x v="2"/>
    <n v="0"/>
    <n v="0"/>
    <n v="0"/>
    <n v="0"/>
    <n v="0"/>
    <n v="0"/>
    <s v="Very Low"/>
  </r>
  <r>
    <n v="2021"/>
    <s v="Kerala"/>
    <n v="32"/>
    <s v="Palakkad"/>
    <n v="563"/>
    <x v="3"/>
    <x v="0"/>
    <n v="365"/>
    <n v="4523"/>
    <n v="18106"/>
    <n v="12.391780821917807"/>
    <n v="4.0030952907362369"/>
    <n v="49.605479452054794"/>
    <s v="Low"/>
  </r>
  <r>
    <n v="2021"/>
    <s v="Uttar Pradesh"/>
    <n v="9"/>
    <s v="Ambedkar Nagar"/>
    <n v="121"/>
    <x v="2"/>
    <x v="2"/>
    <n v="27"/>
    <n v="348"/>
    <n v="1230"/>
    <n v="12.888888888888889"/>
    <n v="3.5344827586206895"/>
    <n v="45.555555555555557"/>
    <s v="Low"/>
  </r>
  <r>
    <n v="2021"/>
    <s v="Maharashtra"/>
    <n v="27"/>
    <s v="Dhule"/>
    <n v="474"/>
    <x v="4"/>
    <x v="1"/>
    <n v="46"/>
    <n v="907"/>
    <n v="1342"/>
    <n v="19.717391304347824"/>
    <n v="1.4796030871003307"/>
    <n v="29.173913043478262"/>
    <s v="Low"/>
  </r>
  <r>
    <n v="2021"/>
    <s v="Meghalaya"/>
    <n v="17"/>
    <s v="East Garo Hills"/>
    <n v="273"/>
    <x v="1"/>
    <x v="1"/>
    <n v="5"/>
    <n v="54"/>
    <n v="89"/>
    <n v="10.8"/>
    <n v="1.6481481481481481"/>
    <n v="17.8"/>
    <s v="Low"/>
  </r>
  <r>
    <n v="2021"/>
    <s v="Nagaland"/>
    <n v="13"/>
    <s v="Kohima"/>
    <n v="245"/>
    <x v="1"/>
    <x v="0"/>
    <n v="37"/>
    <n v="271"/>
    <n v="4760"/>
    <n v="7.3243243243243246"/>
    <n v="17.564575645756456"/>
    <n v="128.64864864864865"/>
    <s v="High"/>
  </r>
  <r>
    <n v="2021"/>
    <s v="Arunachal Pradesh"/>
    <n v="12"/>
    <s v="Upper Subansiri"/>
    <n v="241"/>
    <x v="1"/>
    <x v="1"/>
    <n v="6"/>
    <n v="13"/>
    <n v="146"/>
    <n v="2.1666666666666665"/>
    <n v="11.23076923076923"/>
    <n v="24.333333333333332"/>
    <s v="Medium"/>
  </r>
  <r>
    <n v="2021"/>
    <s v="Maharashtra"/>
    <n v="27"/>
    <s v="Nagpur"/>
    <n v="484"/>
    <x v="4"/>
    <x v="1"/>
    <n v="159"/>
    <n v="1581"/>
    <n v="6000"/>
    <n v="9.9433962264150946"/>
    <n v="3.795066413662239"/>
    <n v="37.735849056603776"/>
    <s v="Low"/>
  </r>
  <r>
    <n v="2021"/>
    <s v="Gujarat"/>
    <n v="24"/>
    <s v="Gandhinagar"/>
    <n v="446"/>
    <x v="4"/>
    <x v="0"/>
    <n v="0"/>
    <n v="0"/>
    <n v="0"/>
    <n v="0"/>
    <n v="0"/>
    <n v="0"/>
    <s v="Very Low"/>
  </r>
  <r>
    <n v="2021"/>
    <s v="Jharkhand"/>
    <n v="20"/>
    <s v="Hazaribagh"/>
    <n v="332"/>
    <x v="0"/>
    <x v="0"/>
    <n v="0"/>
    <n v="0"/>
    <n v="0"/>
    <n v="0"/>
    <n v="0"/>
    <n v="0"/>
    <s v="Very Low"/>
  </r>
  <r>
    <n v="2021"/>
    <s v="West Bengal"/>
    <n v="19"/>
    <s v="Bankura"/>
    <n v="305"/>
    <x v="0"/>
    <x v="0"/>
    <n v="0"/>
    <n v="0"/>
    <n v="0"/>
    <n v="0"/>
    <n v="0"/>
    <n v="0"/>
    <s v="Very Low"/>
  </r>
  <r>
    <n v="2021"/>
    <s v="Himachal Pradesh"/>
    <n v="2"/>
    <s v="Shimla"/>
    <n v="23"/>
    <x v="5"/>
    <x v="1"/>
    <n v="0"/>
    <n v="0"/>
    <n v="0"/>
    <n v="0"/>
    <n v="0"/>
    <n v="0"/>
    <s v="Very Low"/>
  </r>
  <r>
    <n v="2021"/>
    <s v="Odisha"/>
    <n v="21"/>
    <s v="Jajapur"/>
    <n v="356"/>
    <x v="0"/>
    <x v="0"/>
    <n v="0"/>
    <n v="0"/>
    <n v="0"/>
    <n v="0"/>
    <n v="0"/>
    <n v="0"/>
    <s v="Very Low"/>
  </r>
  <r>
    <n v="2021"/>
    <s v="Uttar Pradesh"/>
    <n v="9"/>
    <s v="Bahraich"/>
    <n v="125"/>
    <x v="2"/>
    <x v="0"/>
    <n v="24"/>
    <n v="553"/>
    <n v="1119"/>
    <n v="23.041666666666668"/>
    <n v="2.0235081374321879"/>
    <n v="46.625"/>
    <s v="Low"/>
  </r>
  <r>
    <n v="2021"/>
    <s v="West Bengal"/>
    <n v="19"/>
    <s v="Dinajpur Uttar"/>
    <n v="311"/>
    <x v="0"/>
    <x v="1"/>
    <n v="130"/>
    <n v="2992"/>
    <n v="3025"/>
    <n v="23.015384615384615"/>
    <n v="1.0110294117647058"/>
    <n v="23.26923076923077"/>
    <s v="Low"/>
  </r>
  <r>
    <n v="2021"/>
    <s v="Rajasthan"/>
    <n v="8"/>
    <s v="Hanumangarh"/>
    <n v="101"/>
    <x v="5"/>
    <x v="0"/>
    <n v="74"/>
    <n v="1015"/>
    <n v="2792"/>
    <n v="13.716216216216216"/>
    <n v="2.7507389162561577"/>
    <n v="37.729729729729726"/>
    <s v="Low"/>
  </r>
  <r>
    <n v="2021"/>
    <s v="Uttarakhand"/>
    <n v="5"/>
    <s v="Haridwar"/>
    <n v="50"/>
    <x v="2"/>
    <x v="1"/>
    <n v="72"/>
    <n v="1027"/>
    <n v="4925"/>
    <n v="14.263888888888889"/>
    <n v="4.7955209347614414"/>
    <n v="68.402777777777771"/>
    <s v="Low"/>
  </r>
  <r>
    <n v="2021"/>
    <s v="Uttar Pradesh"/>
    <n v="9"/>
    <s v="Hathras"/>
    <n v="163"/>
    <x v="2"/>
    <x v="1"/>
    <n v="0"/>
    <n v="0"/>
    <n v="0"/>
    <n v="0"/>
    <n v="0"/>
    <n v="0"/>
    <s v="Very Low"/>
  </r>
  <r>
    <n v="2021"/>
    <s v="Telangana"/>
    <n v="36"/>
    <s v="Nagarkurnool"/>
    <n v="694"/>
    <x v="3"/>
    <x v="0"/>
    <n v="0"/>
    <n v="0"/>
    <n v="0"/>
    <n v="0"/>
    <n v="0"/>
    <n v="0"/>
    <s v="Very Low"/>
  </r>
  <r>
    <n v="2021"/>
    <s v="Rajasthan"/>
    <n v="8"/>
    <s v="Dausa"/>
    <n v="97"/>
    <x v="5"/>
    <x v="1"/>
    <n v="0"/>
    <n v="0"/>
    <n v="0"/>
    <n v="0"/>
    <n v="0"/>
    <n v="0"/>
    <s v="Very Low"/>
  </r>
  <r>
    <n v="2021"/>
    <s v="Rajasthan"/>
    <n v="8"/>
    <s v="Pali"/>
    <n v="111"/>
    <x v="5"/>
    <x v="2"/>
    <n v="47"/>
    <n v="508"/>
    <n v="2673"/>
    <n v="10.808510638297872"/>
    <n v="5.2618110236220472"/>
    <n v="56.872340425531917"/>
    <s v="Low"/>
  </r>
  <r>
    <n v="2021"/>
    <s v="Chhattisgarh"/>
    <n v="22"/>
    <s v="Janjgir-Champa"/>
    <n v="379"/>
    <x v="2"/>
    <x v="1"/>
    <n v="78"/>
    <n v="1448"/>
    <n v="2431"/>
    <n v="18.564102564102566"/>
    <n v="1.6788674033149171"/>
    <n v="31.166666666666668"/>
    <s v="Low"/>
  </r>
  <r>
    <n v="2021"/>
    <s v="Telangana"/>
    <n v="36"/>
    <s v="Mulugu"/>
    <n v="720"/>
    <x v="3"/>
    <x v="0"/>
    <n v="6"/>
    <n v="117"/>
    <n v="296"/>
    <n v="19.5"/>
    <n v="2.5299145299145298"/>
    <n v="49.333333333333336"/>
    <s v="Low"/>
  </r>
  <r>
    <n v="2021"/>
    <s v="Jammu and Kashmir"/>
    <n v="1"/>
    <s v="Doda"/>
    <n v="4"/>
    <x v="5"/>
    <x v="0"/>
    <n v="17"/>
    <n v="234"/>
    <n v="1336"/>
    <n v="13.764705882352942"/>
    <n v="5.7094017094017095"/>
    <n v="78.588235294117652"/>
    <s v="Low"/>
  </r>
  <r>
    <n v="2021"/>
    <s v="Telangana"/>
    <n v="36"/>
    <s v="Ranga Reddy"/>
    <n v="518"/>
    <x v="3"/>
    <x v="1"/>
    <n v="0"/>
    <n v="0"/>
    <n v="0"/>
    <n v="0"/>
    <n v="0"/>
    <n v="0"/>
    <s v="Very Low"/>
  </r>
  <r>
    <n v="2021"/>
    <s v="Rajasthan"/>
    <n v="8"/>
    <s v="Alwar"/>
    <n v="87"/>
    <x v="5"/>
    <x v="0"/>
    <n v="0"/>
    <n v="0"/>
    <n v="0"/>
    <n v="0"/>
    <n v="0"/>
    <n v="0"/>
    <s v="Very Low"/>
  </r>
  <r>
    <n v="2021"/>
    <s v="Telangana"/>
    <n v="36"/>
    <s v="Khammam"/>
    <n v="509"/>
    <x v="3"/>
    <x v="1"/>
    <n v="0"/>
    <n v="0"/>
    <n v="0"/>
    <n v="0"/>
    <n v="0"/>
    <n v="0"/>
    <s v="Very Low"/>
  </r>
  <r>
    <n v="2021"/>
    <s v="Bihar"/>
    <n v="10"/>
    <s v="Vaishali"/>
    <n v="224"/>
    <x v="0"/>
    <x v="2"/>
    <n v="0"/>
    <n v="0"/>
    <n v="0"/>
    <n v="0"/>
    <n v="0"/>
    <n v="0"/>
    <s v="Very Low"/>
  </r>
  <r>
    <n v="2021"/>
    <s v="Tamil Nadu"/>
    <n v="33"/>
    <s v="Karur"/>
    <n v="576"/>
    <x v="3"/>
    <x v="1"/>
    <n v="50"/>
    <n v="630"/>
    <n v="1365"/>
    <n v="12.6"/>
    <n v="2.1666666666666665"/>
    <n v="27.3"/>
    <s v="Low"/>
  </r>
  <r>
    <n v="2021"/>
    <s v="Assam"/>
    <n v="18"/>
    <s v="Kamrup"/>
    <n v="291"/>
    <x v="1"/>
    <x v="0"/>
    <n v="0"/>
    <n v="0"/>
    <n v="0"/>
    <n v="0"/>
    <n v="0"/>
    <n v="0"/>
    <s v="Very Low"/>
  </r>
  <r>
    <n v="2021"/>
    <s v="Rajasthan"/>
    <n v="8"/>
    <s v="Ajmer"/>
    <n v="86"/>
    <x v="5"/>
    <x v="1"/>
    <n v="0"/>
    <n v="0"/>
    <n v="0"/>
    <n v="0"/>
    <n v="0"/>
    <n v="0"/>
    <s v="Very Low"/>
  </r>
  <r>
    <n v="2021"/>
    <s v="Meghalaya"/>
    <n v="17"/>
    <s v="West Jaintia Hills"/>
    <n v="275"/>
    <x v="1"/>
    <x v="0"/>
    <n v="0"/>
    <n v="0"/>
    <n v="0"/>
    <n v="0"/>
    <n v="0"/>
    <n v="0"/>
    <s v="Very Low"/>
  </r>
  <r>
    <n v="2021"/>
    <s v="Karnataka"/>
    <n v="29"/>
    <s v="Udupi"/>
    <n v="549"/>
    <x v="3"/>
    <x v="2"/>
    <n v="0"/>
    <n v="0"/>
    <n v="0"/>
    <n v="0"/>
    <n v="0"/>
    <n v="0"/>
    <s v="Very Low"/>
  </r>
  <r>
    <n v="2021"/>
    <s v="Rajasthan"/>
    <n v="8"/>
    <s v="Udaipur"/>
    <n v="117"/>
    <x v="5"/>
    <x v="1"/>
    <n v="0"/>
    <n v="0"/>
    <n v="0"/>
    <n v="0"/>
    <n v="0"/>
    <n v="0"/>
    <s v="Very Low"/>
  </r>
  <r>
    <n v="2021"/>
    <s v="Telangana"/>
    <n v="36"/>
    <s v="Siddipet"/>
    <n v="692"/>
    <x v="3"/>
    <x v="1"/>
    <n v="61"/>
    <n v="674"/>
    <n v="1181"/>
    <n v="11.049180327868852"/>
    <n v="1.7522255192878338"/>
    <n v="19.360655737704917"/>
    <s v="Low"/>
  </r>
  <r>
    <n v="2021"/>
    <s v="Arunachal Pradesh"/>
    <n v="12"/>
    <s v="Upper Siang"/>
    <n v="240"/>
    <x v="1"/>
    <x v="1"/>
    <n v="4"/>
    <n v="32"/>
    <n v="330"/>
    <n v="8"/>
    <n v="10.3125"/>
    <n v="82.5"/>
    <s v="Medium"/>
  </r>
  <r>
    <n v="2021"/>
    <s v="Uttar Pradesh"/>
    <n v="9"/>
    <s v="Auraiya"/>
    <n v="122"/>
    <x v="2"/>
    <x v="1"/>
    <n v="0"/>
    <n v="0"/>
    <n v="0"/>
    <n v="0"/>
    <n v="0"/>
    <n v="0"/>
    <s v="Very Low"/>
  </r>
  <r>
    <n v="2021"/>
    <s v="West Bengal"/>
    <n v="19"/>
    <s v="Jalpaiguri"/>
    <n v="314"/>
    <x v="0"/>
    <x v="0"/>
    <n v="97"/>
    <n v="1758"/>
    <n v="3685"/>
    <n v="18.123711340206185"/>
    <n v="2.0961319681456199"/>
    <n v="37.989690721649481"/>
    <s v="Low"/>
  </r>
  <r>
    <n v="2021"/>
    <s v="Rajasthan"/>
    <n v="8"/>
    <s v="Ajmer"/>
    <n v="86"/>
    <x v="5"/>
    <x v="2"/>
    <n v="0"/>
    <n v="0"/>
    <n v="0"/>
    <n v="0"/>
    <n v="0"/>
    <n v="0"/>
    <s v="Very Low"/>
  </r>
  <r>
    <n v="2021"/>
    <s v="West Bengal"/>
    <n v="19"/>
    <s v="Dinajpur Uttar"/>
    <n v="311"/>
    <x v="0"/>
    <x v="0"/>
    <n v="41"/>
    <n v="990"/>
    <n v="1409"/>
    <n v="24.146341463414632"/>
    <n v="1.4232323232323232"/>
    <n v="34.365853658536587"/>
    <s v="Low"/>
  </r>
  <r>
    <n v="2021"/>
    <s v="Tamil Nadu"/>
    <n v="33"/>
    <s v="Villupuram"/>
    <n v="596"/>
    <x v="3"/>
    <x v="0"/>
    <n v="168"/>
    <n v="2638"/>
    <n v="6677"/>
    <n v="15.702380952380953"/>
    <n v="2.531084154662623"/>
    <n v="39.74404761904762"/>
    <s v="Low"/>
  </r>
  <r>
    <n v="2021"/>
    <s v="Arunachal Pradesh"/>
    <n v="12"/>
    <s v="Longding"/>
    <n v="666"/>
    <x v="1"/>
    <x v="1"/>
    <n v="0"/>
    <n v="0"/>
    <n v="0"/>
    <n v="0"/>
    <n v="0"/>
    <n v="0"/>
    <s v="Very Low"/>
  </r>
  <r>
    <n v="2021"/>
    <s v="Uttar Pradesh"/>
    <n v="9"/>
    <s v="Sitapur"/>
    <n v="183"/>
    <x v="2"/>
    <x v="2"/>
    <n v="0"/>
    <n v="0"/>
    <n v="0"/>
    <n v="0"/>
    <n v="0"/>
    <n v="0"/>
    <s v="Very Low"/>
  </r>
  <r>
    <n v="2021"/>
    <s v="Madhya Pradesh"/>
    <n v="23"/>
    <s v="Dindori"/>
    <n v="404"/>
    <x v="2"/>
    <x v="1"/>
    <n v="0"/>
    <n v="0"/>
    <n v="0"/>
    <n v="0"/>
    <n v="0"/>
    <n v="0"/>
    <s v="Very Low"/>
  </r>
  <r>
    <n v="2021"/>
    <s v="Assam"/>
    <n v="18"/>
    <s v="Biswanath"/>
    <n v="705"/>
    <x v="1"/>
    <x v="1"/>
    <n v="27"/>
    <n v="498"/>
    <n v="712"/>
    <n v="18.444444444444443"/>
    <n v="1.429718875502008"/>
    <n v="26.37037037037037"/>
    <s v="Low"/>
  </r>
  <r>
    <n v="2021"/>
    <s v="Telangana"/>
    <n v="36"/>
    <s v="Nalgonda"/>
    <n v="514"/>
    <x v="3"/>
    <x v="2"/>
    <n v="0"/>
    <n v="0"/>
    <n v="0"/>
    <n v="0"/>
    <n v="0"/>
    <n v="0"/>
    <s v="Very Low"/>
  </r>
  <r>
    <n v="2021"/>
    <s v="Nagaland"/>
    <n v="13"/>
    <s v="Kohima"/>
    <n v="245"/>
    <x v="1"/>
    <x v="1"/>
    <n v="7"/>
    <n v="40"/>
    <n v="169"/>
    <n v="5.7142857142857144"/>
    <n v="4.2249999999999996"/>
    <n v="24.142857142857142"/>
    <s v="Low"/>
  </r>
  <r>
    <n v="2021"/>
    <s v="Jammu and Kashmir"/>
    <n v="1"/>
    <s v="Kathua"/>
    <n v="7"/>
    <x v="5"/>
    <x v="1"/>
    <n v="0"/>
    <n v="0"/>
    <n v="0"/>
    <n v="0"/>
    <n v="0"/>
    <n v="0"/>
    <s v="Very Low"/>
  </r>
  <r>
    <n v="2021"/>
    <s v="Tamil Nadu"/>
    <n v="33"/>
    <s v="Kanchipuram"/>
    <n v="574"/>
    <x v="3"/>
    <x v="2"/>
    <n v="191"/>
    <n v="2405"/>
    <n v="19884"/>
    <n v="12.591623036649215"/>
    <n v="8.2677754677754685"/>
    <n v="104.10471204188482"/>
    <s v="Medium"/>
  </r>
  <r>
    <n v="2021"/>
    <s v="Rajasthan"/>
    <n v="8"/>
    <s v="Dholpur"/>
    <n v="98"/>
    <x v="5"/>
    <x v="1"/>
    <n v="20"/>
    <n v="309"/>
    <n v="280"/>
    <n v="15.45"/>
    <n v="0.90614886731391586"/>
    <n v="14"/>
    <s v="Very Low"/>
  </r>
  <r>
    <n v="2021"/>
    <s v="Tamil Nadu"/>
    <n v="33"/>
    <s v="Tuticorin"/>
    <n v="594"/>
    <x v="3"/>
    <x v="0"/>
    <n v="89"/>
    <n v="1442"/>
    <n v="5096"/>
    <n v="16.202247191011235"/>
    <n v="3.5339805825242721"/>
    <n v="57.258426966292134"/>
    <s v="Low"/>
  </r>
  <r>
    <n v="2021"/>
    <s v="Uttar Pradesh"/>
    <n v="9"/>
    <s v="Shamli"/>
    <n v="660"/>
    <x v="2"/>
    <x v="1"/>
    <n v="33"/>
    <n v="314"/>
    <n v="766"/>
    <n v="9.5151515151515156"/>
    <n v="2.4394904458598727"/>
    <n v="23.212121212121211"/>
    <s v="Low"/>
  </r>
  <r>
    <n v="2021"/>
    <s v="Gujarat"/>
    <n v="24"/>
    <s v="Surendranagar"/>
    <n v="460"/>
    <x v="4"/>
    <x v="0"/>
    <n v="68"/>
    <n v="944"/>
    <n v="3600"/>
    <n v="13.882352941176471"/>
    <n v="3.8135593220338984"/>
    <n v="52.941176470588232"/>
    <s v="Low"/>
  </r>
  <r>
    <n v="2021"/>
    <s v="Tamil Nadu"/>
    <n v="33"/>
    <s v="Cuddalore"/>
    <n v="570"/>
    <x v="3"/>
    <x v="0"/>
    <n v="0"/>
    <n v="0"/>
    <n v="0"/>
    <n v="0"/>
    <n v="0"/>
    <n v="0"/>
    <s v="Very Low"/>
  </r>
  <r>
    <n v="2021"/>
    <s v="Madhya Pradesh"/>
    <n v="23"/>
    <s v="Jabalpur"/>
    <n v="411"/>
    <x v="2"/>
    <x v="0"/>
    <n v="49"/>
    <n v="790"/>
    <n v="1841"/>
    <n v="16.122448979591837"/>
    <n v="2.330379746835443"/>
    <n v="37.571428571428569"/>
    <s v="Low"/>
  </r>
  <r>
    <n v="2021"/>
    <s v="Odisha"/>
    <n v="21"/>
    <s v="Ganjam"/>
    <n v="354"/>
    <x v="0"/>
    <x v="2"/>
    <n v="105"/>
    <n v="1100"/>
    <n v="9731"/>
    <n v="10.476190476190476"/>
    <n v="8.8463636363636358"/>
    <n v="92.67619047619047"/>
    <s v="Medium"/>
  </r>
  <r>
    <n v="2021"/>
    <s v="Tamil Nadu"/>
    <n v="33"/>
    <s v="The Nilgiris"/>
    <n v="587"/>
    <x v="3"/>
    <x v="1"/>
    <n v="20"/>
    <n v="199"/>
    <n v="448"/>
    <n v="9.9499999999999993"/>
    <n v="2.2512562814070352"/>
    <n v="22.4"/>
    <s v="Low"/>
  </r>
  <r>
    <n v="2021"/>
    <s v="Uttar Pradesh"/>
    <n v="9"/>
    <s v="Rampur"/>
    <n v="176"/>
    <x v="2"/>
    <x v="2"/>
    <n v="0"/>
    <n v="0"/>
    <n v="0"/>
    <n v="0"/>
    <n v="0"/>
    <n v="0"/>
    <s v="Very Low"/>
  </r>
  <r>
    <n v="2021"/>
    <s v="Tripura"/>
    <n v="16"/>
    <s v="North Tripura"/>
    <n v="270"/>
    <x v="1"/>
    <x v="0"/>
    <n v="0"/>
    <n v="0"/>
    <n v="0"/>
    <n v="0"/>
    <n v="0"/>
    <n v="0"/>
    <s v="Very Low"/>
  </r>
  <r>
    <n v="2021"/>
    <s v="Punjab"/>
    <n v="3"/>
    <s v="Fazilka"/>
    <n v="651"/>
    <x v="5"/>
    <x v="1"/>
    <n v="82"/>
    <n v="746"/>
    <n v="1775"/>
    <n v="9.0975609756097562"/>
    <n v="2.3793565683646114"/>
    <n v="21.646341463414632"/>
    <s v="Low"/>
  </r>
  <r>
    <n v="2021"/>
    <s v="Maharashtra"/>
    <n v="27"/>
    <s v="Aurangabad"/>
    <n v="189"/>
    <x v="4"/>
    <x v="0"/>
    <n v="0"/>
    <n v="0"/>
    <n v="0"/>
    <n v="0"/>
    <n v="0"/>
    <n v="0"/>
    <s v="Very Low"/>
  </r>
  <r>
    <n v="2021"/>
    <s v="Uttar Pradesh"/>
    <n v="9"/>
    <s v="Varanasi"/>
    <n v="187"/>
    <x v="2"/>
    <x v="0"/>
    <n v="34"/>
    <n v="595"/>
    <n v="2266"/>
    <n v="17.5"/>
    <n v="3.8084033613445376"/>
    <n v="66.647058823529406"/>
    <s v="Low"/>
  </r>
  <r>
    <n v="2021"/>
    <s v="Jammu and Kashmir"/>
    <n v="1"/>
    <s v="Udhampur"/>
    <n v="14"/>
    <x v="5"/>
    <x v="1"/>
    <n v="0"/>
    <n v="0"/>
    <n v="0"/>
    <n v="0"/>
    <n v="0"/>
    <n v="0"/>
    <s v="Very Low"/>
  </r>
  <r>
    <n v="2021"/>
    <s v="Gujarat"/>
    <n v="24"/>
    <s v="Mahesana"/>
    <n v="451"/>
    <x v="4"/>
    <x v="0"/>
    <n v="0"/>
    <n v="0"/>
    <n v="0"/>
    <n v="0"/>
    <n v="0"/>
    <n v="0"/>
    <s v="Very Low"/>
  </r>
  <r>
    <n v="2021"/>
    <s v="Tripura"/>
    <n v="16"/>
    <s v="Gomati"/>
    <n v="654"/>
    <x v="1"/>
    <x v="1"/>
    <n v="42"/>
    <n v="430"/>
    <n v="1148"/>
    <n v="10.238095238095237"/>
    <n v="2.6697674418604653"/>
    <n v="27.333333333333332"/>
    <s v="Low"/>
  </r>
  <r>
    <n v="2021"/>
    <s v="Rajasthan"/>
    <n v="8"/>
    <s v="Baran"/>
    <n v="89"/>
    <x v="5"/>
    <x v="0"/>
    <n v="0"/>
    <n v="0"/>
    <n v="0"/>
    <n v="0"/>
    <n v="0"/>
    <n v="0"/>
    <s v="Very Low"/>
  </r>
  <r>
    <n v="2021"/>
    <s v="Madhya Pradesh"/>
    <n v="23"/>
    <s v="Sagar"/>
    <n v="425"/>
    <x v="2"/>
    <x v="0"/>
    <n v="84"/>
    <n v="1781"/>
    <n v="3538"/>
    <n v="21.202380952380953"/>
    <n v="1.9865244244806288"/>
    <n v="42.11904761904762"/>
    <s v="Low"/>
  </r>
  <r>
    <n v="2021"/>
    <s v="Madhya Pradesh"/>
    <n v="23"/>
    <s v="Dewas"/>
    <n v="402"/>
    <x v="2"/>
    <x v="2"/>
    <n v="51"/>
    <n v="749"/>
    <n v="3497"/>
    <n v="14.686274509803921"/>
    <n v="4.6688918558077432"/>
    <n v="68.568627450980387"/>
    <s v="Low"/>
  </r>
  <r>
    <n v="2021"/>
    <s v="Rajasthan"/>
    <n v="8"/>
    <s v="Jaipur"/>
    <n v="102"/>
    <x v="5"/>
    <x v="0"/>
    <n v="0"/>
    <n v="0"/>
    <n v="0"/>
    <n v="0"/>
    <n v="0"/>
    <n v="0"/>
    <s v="Very Low"/>
  </r>
  <r>
    <n v="2021"/>
    <s v="Uttar Pradesh"/>
    <n v="9"/>
    <s v="Bahraich"/>
    <n v="125"/>
    <x v="2"/>
    <x v="1"/>
    <n v="0"/>
    <n v="0"/>
    <n v="0"/>
    <n v="0"/>
    <n v="0"/>
    <n v="0"/>
    <s v="Very Low"/>
  </r>
  <r>
    <n v="2021"/>
    <s v="Gujarat"/>
    <n v="24"/>
    <s v="Bharuch"/>
    <n v="442"/>
    <x v="4"/>
    <x v="1"/>
    <n v="0"/>
    <n v="0"/>
    <n v="0"/>
    <n v="0"/>
    <n v="0"/>
    <n v="0"/>
    <s v="Very Low"/>
  </r>
  <r>
    <n v="2021"/>
    <s v="Madhya Pradesh"/>
    <n v="23"/>
    <s v="Ratlam"/>
    <n v="423"/>
    <x v="2"/>
    <x v="0"/>
    <n v="38"/>
    <n v="777"/>
    <n v="1384"/>
    <n v="20.44736842105263"/>
    <n v="1.7812097812097811"/>
    <n v="36.421052631578945"/>
    <s v="Low"/>
  </r>
  <r>
    <n v="2021"/>
    <s v="Rajasthan"/>
    <n v="8"/>
    <s v="Ganganagar"/>
    <n v="100"/>
    <x v="5"/>
    <x v="0"/>
    <n v="114"/>
    <n v="1391"/>
    <n v="4573"/>
    <n v="12.201754385964913"/>
    <n v="3.2875629043853345"/>
    <n v="40.114035087719301"/>
    <s v="Low"/>
  </r>
  <r>
    <n v="2021"/>
    <s v="Assam"/>
    <n v="18"/>
    <s v="Karbi Anglong"/>
    <n v="292"/>
    <x v="1"/>
    <x v="0"/>
    <n v="25"/>
    <n v="256"/>
    <n v="1331"/>
    <n v="10.24"/>
    <n v="5.19921875"/>
    <n v="53.24"/>
    <s v="Low"/>
  </r>
  <r>
    <n v="2021"/>
    <s v="Maharashtra"/>
    <n v="27"/>
    <s v="Nagpur"/>
    <n v="484"/>
    <x v="4"/>
    <x v="0"/>
    <n v="0"/>
    <n v="0"/>
    <n v="0"/>
    <n v="0"/>
    <n v="0"/>
    <n v="0"/>
    <s v="Very Low"/>
  </r>
  <r>
    <n v="2021"/>
    <s v="Madhya Pradesh"/>
    <n v="23"/>
    <s v="Anuppur"/>
    <n v="390"/>
    <x v="2"/>
    <x v="0"/>
    <n v="30"/>
    <n v="536"/>
    <n v="2674"/>
    <n v="17.866666666666667"/>
    <n v="4.9888059701492535"/>
    <n v="89.13333333333334"/>
    <s v="Low"/>
  </r>
  <r>
    <n v="2021"/>
    <s v="Arunachal Pradesh"/>
    <n v="12"/>
    <s v="Papum Pare"/>
    <n v="237"/>
    <x v="1"/>
    <x v="1"/>
    <n v="0"/>
    <n v="0"/>
    <n v="0"/>
    <n v="0"/>
    <n v="0"/>
    <n v="0"/>
    <s v="Very Low"/>
  </r>
  <r>
    <n v="2021"/>
    <s v="Tamil Nadu"/>
    <n v="33"/>
    <s v="Nagapattinam"/>
    <n v="579"/>
    <x v="3"/>
    <x v="2"/>
    <n v="0"/>
    <n v="0"/>
    <n v="0"/>
    <n v="0"/>
    <n v="0"/>
    <n v="0"/>
    <s v="Very Low"/>
  </r>
  <r>
    <n v="2021"/>
    <s v="Assam"/>
    <n v="18"/>
    <s v="Marigaon"/>
    <n v="296"/>
    <x v="1"/>
    <x v="1"/>
    <n v="40"/>
    <n v="931"/>
    <n v="607"/>
    <n v="23.274999999999999"/>
    <n v="0.65198711063372716"/>
    <n v="15.175000000000001"/>
    <s v="Very Low"/>
  </r>
  <r>
    <n v="2021"/>
    <s v="Jammu and Kashmir"/>
    <n v="1"/>
    <s v="Jammu"/>
    <n v="5"/>
    <x v="5"/>
    <x v="1"/>
    <n v="91"/>
    <n v="1034"/>
    <n v="4968"/>
    <n v="11.362637362637363"/>
    <n v="4.8046421663442942"/>
    <n v="54.593406593406591"/>
    <s v="Low"/>
  </r>
  <r>
    <n v="2021"/>
    <s v="Uttar Pradesh"/>
    <n v="9"/>
    <s v="Ambedkar Nagar"/>
    <n v="121"/>
    <x v="2"/>
    <x v="0"/>
    <n v="47"/>
    <n v="1002"/>
    <n v="2736"/>
    <n v="21.319148936170212"/>
    <n v="2.7305389221556888"/>
    <n v="58.212765957446805"/>
    <s v="Low"/>
  </r>
  <r>
    <n v="2021"/>
    <s v="Andhra Pradesh"/>
    <n v="28"/>
    <s v="Visakhapatanam"/>
    <n v="520"/>
    <x v="3"/>
    <x v="1"/>
    <n v="0"/>
    <n v="0"/>
    <n v="0"/>
    <n v="0"/>
    <n v="0"/>
    <n v="0"/>
    <s v="Very Low"/>
  </r>
  <r>
    <n v="2021"/>
    <s v="Jharkhand"/>
    <n v="20"/>
    <s v="Bokaro"/>
    <n v="322"/>
    <x v="0"/>
    <x v="1"/>
    <n v="78"/>
    <n v="1424"/>
    <n v="4445"/>
    <n v="18.256410256410255"/>
    <n v="3.121488764044944"/>
    <n v="56.987179487179489"/>
    <s v="Low"/>
  </r>
  <r>
    <n v="2021"/>
    <s v="Rajasthan"/>
    <n v="8"/>
    <s v="Bundi"/>
    <n v="94"/>
    <x v="5"/>
    <x v="2"/>
    <n v="0"/>
    <n v="0"/>
    <n v="0"/>
    <n v="0"/>
    <n v="0"/>
    <n v="0"/>
    <s v="Very Low"/>
  </r>
  <r>
    <n v="2021"/>
    <s v="Uttar Pradesh"/>
    <n v="9"/>
    <s v="Balrampur"/>
    <n v="649"/>
    <x v="2"/>
    <x v="1"/>
    <n v="0"/>
    <n v="0"/>
    <n v="0"/>
    <n v="0"/>
    <n v="0"/>
    <n v="0"/>
    <s v="Very Low"/>
  </r>
  <r>
    <n v="2021"/>
    <s v="Rajasthan"/>
    <n v="8"/>
    <s v="Pratapgarh"/>
    <n v="629"/>
    <x v="5"/>
    <x v="0"/>
    <n v="0"/>
    <n v="0"/>
    <n v="0"/>
    <n v="0"/>
    <n v="0"/>
    <n v="0"/>
    <s v="Very Low"/>
  </r>
  <r>
    <n v="2021"/>
    <s v="Odisha"/>
    <n v="21"/>
    <s v="Kalahandi"/>
    <n v="358"/>
    <x v="0"/>
    <x v="0"/>
    <n v="60"/>
    <n v="663"/>
    <n v="2800"/>
    <n v="11.05"/>
    <n v="4.2232277526395174"/>
    <n v="46.666666666666664"/>
    <s v="Low"/>
  </r>
  <r>
    <n v="2021"/>
    <s v="Telangana"/>
    <n v="36"/>
    <s v="Medchal Malkajgiri"/>
    <n v="700"/>
    <x v="3"/>
    <x v="1"/>
    <n v="38"/>
    <n v="335"/>
    <n v="2675"/>
    <n v="8.8157894736842106"/>
    <n v="7.9850746268656714"/>
    <n v="70.39473684210526"/>
    <s v="Medium"/>
  </r>
  <r>
    <n v="2021"/>
    <s v="Assam"/>
    <n v="18"/>
    <s v="Bongaigaon"/>
    <n v="281"/>
    <x v="1"/>
    <x v="1"/>
    <n v="0"/>
    <n v="0"/>
    <n v="0"/>
    <n v="0"/>
    <n v="0"/>
    <n v="0"/>
    <s v="Very Low"/>
  </r>
  <r>
    <n v="2021"/>
    <s v="Assam"/>
    <n v="18"/>
    <s v="Chirang"/>
    <n v="612"/>
    <x v="1"/>
    <x v="0"/>
    <n v="10"/>
    <n v="198"/>
    <n v="344"/>
    <n v="19.8"/>
    <n v="1.7373737373737375"/>
    <n v="34.4"/>
    <s v="Low"/>
  </r>
  <r>
    <n v="2021"/>
    <s v="Rajasthan"/>
    <n v="8"/>
    <s v="Karauli"/>
    <n v="108"/>
    <x v="5"/>
    <x v="0"/>
    <n v="0"/>
    <n v="0"/>
    <n v="0"/>
    <n v="0"/>
    <n v="0"/>
    <n v="0"/>
    <s v="Very Low"/>
  </r>
  <r>
    <n v="2021"/>
    <s v="Goa"/>
    <n v="30"/>
    <s v="South Goa"/>
    <n v="552"/>
    <x v="4"/>
    <x v="1"/>
    <n v="109"/>
    <n v="811"/>
    <n v="8664"/>
    <n v="7.4403669724770642"/>
    <n v="10.683107274969174"/>
    <n v="79.486238532110093"/>
    <s v="Medium"/>
  </r>
  <r>
    <n v="2021"/>
    <s v="Bihar"/>
    <n v="10"/>
    <s v="Siwan"/>
    <n v="222"/>
    <x v="0"/>
    <x v="0"/>
    <n v="58"/>
    <n v="1587"/>
    <n v="3291"/>
    <n v="27.362068965517242"/>
    <n v="2.0737240075614367"/>
    <n v="56.741379310344826"/>
    <s v="Low"/>
  </r>
  <r>
    <n v="2021"/>
    <s v="Nagaland"/>
    <n v="13"/>
    <s v="Wokha"/>
    <n v="250"/>
    <x v="1"/>
    <x v="1"/>
    <n v="0"/>
    <n v="0"/>
    <n v="0"/>
    <n v="0"/>
    <n v="0"/>
    <n v="0"/>
    <s v="Very Low"/>
  </r>
  <r>
    <n v="2021"/>
    <s v="Odisha"/>
    <n v="21"/>
    <s v="Sambalpur"/>
    <n v="371"/>
    <x v="0"/>
    <x v="2"/>
    <n v="0"/>
    <n v="0"/>
    <n v="0"/>
    <n v="0"/>
    <n v="0"/>
    <n v="0"/>
    <s v="Very Low"/>
  </r>
  <r>
    <n v="2021"/>
    <s v="Madhya Pradesh"/>
    <n v="23"/>
    <s v="Sidhi"/>
    <n v="433"/>
    <x v="2"/>
    <x v="0"/>
    <n v="0"/>
    <n v="0"/>
    <n v="0"/>
    <n v="0"/>
    <n v="0"/>
    <n v="0"/>
    <s v="Very Low"/>
  </r>
  <r>
    <n v="2021"/>
    <s v="Uttarakhand"/>
    <n v="5"/>
    <s v="Udam Singh Nagar"/>
    <n v="56"/>
    <x v="2"/>
    <x v="1"/>
    <n v="0"/>
    <n v="0"/>
    <n v="0"/>
    <n v="0"/>
    <n v="0"/>
    <n v="0"/>
    <s v="Very Low"/>
  </r>
  <r>
    <n v="2021"/>
    <s v="Telangana"/>
    <n v="36"/>
    <s v="Nagarkurnool"/>
    <n v="694"/>
    <x v="3"/>
    <x v="0"/>
    <n v="27"/>
    <n v="518"/>
    <n v="1045"/>
    <n v="19.185185185185187"/>
    <n v="2.0173745173745172"/>
    <n v="38.703703703703702"/>
    <s v="Low"/>
  </r>
  <r>
    <n v="2021"/>
    <s v="Tamil Nadu"/>
    <n v="33"/>
    <s v="Tiruvannamalai"/>
    <n v="593"/>
    <x v="3"/>
    <x v="1"/>
    <n v="108"/>
    <n v="1637"/>
    <n v="2185"/>
    <n v="15.157407407407407"/>
    <n v="1.3347587049480758"/>
    <n v="20.231481481481481"/>
    <s v="Low"/>
  </r>
  <r>
    <n v="2021"/>
    <s v="Nagaland"/>
    <n v="13"/>
    <s v="Mokokchung"/>
    <n v="246"/>
    <x v="1"/>
    <x v="1"/>
    <n v="10"/>
    <n v="51"/>
    <n v="133"/>
    <n v="5.0999999999999996"/>
    <n v="2.607843137254902"/>
    <n v="13.3"/>
    <s v="Low"/>
  </r>
  <r>
    <n v="2021"/>
    <s v="Meghalaya"/>
    <n v="17"/>
    <s v="South West Khasi Hills"/>
    <n v="658"/>
    <x v="1"/>
    <x v="1"/>
    <n v="0"/>
    <n v="0"/>
    <n v="0"/>
    <n v="0"/>
    <n v="0"/>
    <n v="0"/>
    <s v="Very Low"/>
  </r>
  <r>
    <n v="2021"/>
    <s v="Punjab"/>
    <n v="3"/>
    <s v="Shahid Bhagat Singh Nagar"/>
    <n v="40"/>
    <x v="5"/>
    <x v="1"/>
    <n v="89"/>
    <n v="618"/>
    <n v="4138"/>
    <n v="6.9438202247191008"/>
    <n v="6.6957928802588995"/>
    <n v="46.49438202247191"/>
    <s v="Low"/>
  </r>
  <r>
    <n v="2021"/>
    <s v="Gujarat"/>
    <n v="24"/>
    <s v="Ahmadabad"/>
    <n v="438"/>
    <x v="4"/>
    <x v="1"/>
    <n v="0"/>
    <n v="0"/>
    <n v="0"/>
    <n v="0"/>
    <n v="0"/>
    <n v="0"/>
    <s v="Very Low"/>
  </r>
  <r>
    <n v="2021"/>
    <s v="Telangana"/>
    <n v="36"/>
    <s v="Mulugu"/>
    <n v="720"/>
    <x v="3"/>
    <x v="1"/>
    <n v="0"/>
    <n v="0"/>
    <n v="0"/>
    <n v="0"/>
    <n v="0"/>
    <n v="0"/>
    <s v="Very Low"/>
  </r>
  <r>
    <n v="2021"/>
    <s v="Arunachal Pradesh"/>
    <n v="12"/>
    <s v="Lower Subansiri"/>
    <n v="236"/>
    <x v="1"/>
    <x v="1"/>
    <n v="0"/>
    <n v="0"/>
    <n v="0"/>
    <n v="0"/>
    <n v="0"/>
    <n v="0"/>
    <s v="Very Low"/>
  </r>
  <r>
    <n v="2021"/>
    <s v="Tripura"/>
    <n v="16"/>
    <s v="Dhalai"/>
    <n v="269"/>
    <x v="1"/>
    <x v="1"/>
    <n v="30"/>
    <n v="332"/>
    <n v="549"/>
    <n v="11.066666666666666"/>
    <n v="1.6536144578313252"/>
    <n v="18.3"/>
    <s v="Low"/>
  </r>
  <r>
    <n v="2021"/>
    <s v="Madhya Pradesh"/>
    <n v="23"/>
    <s v="Khargone"/>
    <n v="414"/>
    <x v="2"/>
    <x v="2"/>
    <n v="33"/>
    <n v="504"/>
    <n v="1953"/>
    <n v="15.272727272727273"/>
    <n v="3.875"/>
    <n v="59.18181818181818"/>
    <s v="Low"/>
  </r>
  <r>
    <n v="2021"/>
    <s v="Madhya Pradesh"/>
    <n v="23"/>
    <s v="Bhopal"/>
    <n v="396"/>
    <x v="2"/>
    <x v="3"/>
    <n v="509"/>
    <n v="5618"/>
    <n v="91414"/>
    <n v="11.037328094302554"/>
    <n v="16.271626913492344"/>
    <n v="179.59528487229863"/>
    <s v="High"/>
  </r>
  <r>
    <n v="2021"/>
    <s v="Uttar Pradesh"/>
    <n v="9"/>
    <s v="Siddharth Nagar"/>
    <n v="182"/>
    <x v="2"/>
    <x v="1"/>
    <n v="116"/>
    <n v="2607"/>
    <n v="4281"/>
    <n v="22.474137931034484"/>
    <n v="1.6421173762945915"/>
    <n v="36.905172413793103"/>
    <s v="Low"/>
  </r>
  <r>
    <n v="2021"/>
    <s v="Andhra Pradesh"/>
    <n v="28"/>
    <s v="Krishna"/>
    <n v="510"/>
    <x v="3"/>
    <x v="1"/>
    <n v="228"/>
    <n v="2125"/>
    <n v="4549"/>
    <n v="9.3201754385964914"/>
    <n v="2.140705882352941"/>
    <n v="19.951754385964911"/>
    <s v="Low"/>
  </r>
  <r>
    <n v="2021"/>
    <s v="Assam"/>
    <n v="18"/>
    <s v="Karimganj"/>
    <n v="293"/>
    <x v="1"/>
    <x v="0"/>
    <n v="34"/>
    <n v="477"/>
    <n v="2649"/>
    <n v="14.029411764705882"/>
    <n v="5.5534591194968552"/>
    <n v="77.911764705882348"/>
    <s v="Low"/>
  </r>
  <r>
    <n v="2021"/>
    <s v="West Bengal"/>
    <n v="19"/>
    <s v="Howrah"/>
    <n v="313"/>
    <x v="0"/>
    <x v="3"/>
    <n v="0"/>
    <n v="0"/>
    <n v="0"/>
    <n v="0"/>
    <n v="0"/>
    <n v="0"/>
    <s v="Very Low"/>
  </r>
  <r>
    <n v="2021"/>
    <s v="Tamil Nadu"/>
    <n v="33"/>
    <s v="Thiruvarur"/>
    <n v="590"/>
    <x v="3"/>
    <x v="1"/>
    <n v="80"/>
    <n v="869"/>
    <n v="1930"/>
    <n v="10.862500000000001"/>
    <n v="2.2209436133486768"/>
    <n v="24.125"/>
    <s v="Low"/>
  </r>
  <r>
    <n v="2021"/>
    <s v="Arunachal Pradesh"/>
    <n v="12"/>
    <s v="Upper Subansiri"/>
    <n v="241"/>
    <x v="1"/>
    <x v="1"/>
    <n v="0"/>
    <n v="0"/>
    <n v="0"/>
    <n v="0"/>
    <n v="0"/>
    <n v="0"/>
    <s v="Very Low"/>
  </r>
  <r>
    <n v="2021"/>
    <s v="Gujarat"/>
    <n v="24"/>
    <s v="Morbi"/>
    <n v="673"/>
    <x v="4"/>
    <x v="0"/>
    <n v="30"/>
    <n v="374"/>
    <n v="1421"/>
    <n v="12.466666666666667"/>
    <n v="3.7994652406417111"/>
    <n v="47.366666666666667"/>
    <s v="Low"/>
  </r>
  <r>
    <n v="2021"/>
    <s v="Gujarat"/>
    <n v="24"/>
    <s v="Amreli"/>
    <n v="439"/>
    <x v="4"/>
    <x v="1"/>
    <n v="72"/>
    <n v="620"/>
    <n v="1798"/>
    <n v="8.6111111111111107"/>
    <n v="2.9"/>
    <n v="24.972222222222221"/>
    <s v="Low"/>
  </r>
  <r>
    <n v="2021"/>
    <s v="Uttar Pradesh"/>
    <n v="9"/>
    <s v="Mau"/>
    <n v="168"/>
    <x v="2"/>
    <x v="2"/>
    <n v="33"/>
    <n v="613"/>
    <n v="2826"/>
    <n v="18.575757575757574"/>
    <n v="4.6101141924959217"/>
    <n v="85.63636363636364"/>
    <s v="Low"/>
  </r>
  <r>
    <n v="2021"/>
    <s v="Tamil Nadu"/>
    <n v="33"/>
    <s v="Tirunelveli"/>
    <n v="592"/>
    <x v="3"/>
    <x v="0"/>
    <n v="0"/>
    <n v="0"/>
    <n v="0"/>
    <n v="0"/>
    <n v="0"/>
    <n v="0"/>
    <s v="Very Low"/>
  </r>
  <r>
    <n v="2021"/>
    <s v="Tamil Nadu"/>
    <n v="33"/>
    <s v="Chengalpattu"/>
    <n v="730"/>
    <x v="3"/>
    <x v="0"/>
    <n v="0"/>
    <n v="0"/>
    <n v="0"/>
    <n v="0"/>
    <n v="0"/>
    <n v="0"/>
    <s v="Very Low"/>
  </r>
  <r>
    <n v="2021"/>
    <s v="Goa"/>
    <n v="30"/>
    <s v="South Goa"/>
    <n v="552"/>
    <x v="4"/>
    <x v="0"/>
    <n v="172"/>
    <n v="1811"/>
    <n v="27991"/>
    <n v="10.529069767441861"/>
    <n v="15.456101601325235"/>
    <n v="162.73837209302326"/>
    <s v="High"/>
  </r>
  <r>
    <n v="2021"/>
    <s v="Tamil Nadu"/>
    <n v="33"/>
    <s v="Nagapattinam"/>
    <n v="579"/>
    <x v="3"/>
    <x v="0"/>
    <n v="0"/>
    <n v="0"/>
    <n v="0"/>
    <n v="0"/>
    <n v="0"/>
    <n v="0"/>
    <s v="Very Low"/>
  </r>
  <r>
    <n v="2021"/>
    <s v="Bihar"/>
    <n v="10"/>
    <s v="Gopalganj"/>
    <n v="197"/>
    <x v="0"/>
    <x v="0"/>
    <n v="0"/>
    <n v="0"/>
    <n v="0"/>
    <n v="0"/>
    <n v="0"/>
    <n v="0"/>
    <s v="Very Low"/>
  </r>
  <r>
    <n v="2021"/>
    <s v="Uttar Pradesh"/>
    <n v="9"/>
    <s v="Ayodhya"/>
    <n v="140"/>
    <x v="2"/>
    <x v="0"/>
    <n v="0"/>
    <n v="0"/>
    <n v="0"/>
    <n v="0"/>
    <n v="0"/>
    <n v="0"/>
    <s v="Very Low"/>
  </r>
  <r>
    <n v="2021"/>
    <s v="Maharashtra"/>
    <n v="27"/>
    <s v="Nandurbar"/>
    <n v="486"/>
    <x v="4"/>
    <x v="0"/>
    <n v="0"/>
    <n v="0"/>
    <n v="0"/>
    <n v="0"/>
    <n v="0"/>
    <n v="0"/>
    <s v="Very Low"/>
  </r>
  <r>
    <n v="2021"/>
    <s v="Maharashtra"/>
    <n v="27"/>
    <s v="Nashik"/>
    <n v="487"/>
    <x v="4"/>
    <x v="0"/>
    <n v="192"/>
    <n v="2723"/>
    <n v="12522"/>
    <n v="14.182291666666666"/>
    <n v="4.5986044803525523"/>
    <n v="65.21875"/>
    <s v="Low"/>
  </r>
  <r>
    <n v="2021"/>
    <s v="Odisha"/>
    <n v="21"/>
    <s v="Mayurbhanj"/>
    <n v="365"/>
    <x v="0"/>
    <x v="1"/>
    <n v="0"/>
    <n v="0"/>
    <n v="0"/>
    <n v="0"/>
    <n v="0"/>
    <n v="0"/>
    <s v="Very Low"/>
  </r>
  <r>
    <n v="2021"/>
    <s v="Gujarat"/>
    <n v="24"/>
    <s v="Kheda"/>
    <n v="450"/>
    <x v="4"/>
    <x v="1"/>
    <n v="111"/>
    <n v="1283"/>
    <n v="3577"/>
    <n v="11.558558558558559"/>
    <n v="2.7879968823070929"/>
    <n v="32.225225225225223"/>
    <s v="Low"/>
  </r>
  <r>
    <n v="2021"/>
    <s v="Maharashtra"/>
    <n v="27"/>
    <s v="Kolhapur"/>
    <n v="480"/>
    <x v="4"/>
    <x v="0"/>
    <n v="0"/>
    <n v="0"/>
    <n v="0"/>
    <n v="0"/>
    <n v="0"/>
    <n v="0"/>
    <s v="Very Low"/>
  </r>
  <r>
    <n v="2021"/>
    <s v="Jharkhand"/>
    <n v="20"/>
    <s v="Ranchi"/>
    <n v="339"/>
    <x v="0"/>
    <x v="0"/>
    <n v="0"/>
    <n v="0"/>
    <n v="0"/>
    <n v="0"/>
    <n v="0"/>
    <n v="0"/>
    <s v="Very Low"/>
  </r>
  <r>
    <n v="2021"/>
    <s v="Uttar Pradesh"/>
    <n v="9"/>
    <s v="Firozabad"/>
    <n v="143"/>
    <x v="2"/>
    <x v="1"/>
    <n v="0"/>
    <n v="0"/>
    <n v="0"/>
    <n v="0"/>
    <n v="0"/>
    <n v="0"/>
    <s v="Very Low"/>
  </r>
  <r>
    <n v="2021"/>
    <s v="Tamil Nadu"/>
    <n v="33"/>
    <s v="Pudukkottai"/>
    <n v="582"/>
    <x v="3"/>
    <x v="1"/>
    <n v="121"/>
    <n v="1500"/>
    <n v="2679"/>
    <n v="12.396694214876034"/>
    <n v="1.786"/>
    <n v="22.140495867768596"/>
    <s v="Low"/>
  </r>
  <r>
    <n v="2021"/>
    <s v="Chhattisgarh"/>
    <n v="22"/>
    <s v="Mahasamund"/>
    <n v="385"/>
    <x v="2"/>
    <x v="1"/>
    <n v="0"/>
    <n v="0"/>
    <n v="0"/>
    <n v="0"/>
    <n v="0"/>
    <n v="0"/>
    <s v="Very Low"/>
  </r>
  <r>
    <n v="2021"/>
    <s v="Tamil Nadu"/>
    <n v="33"/>
    <s v="Vellore"/>
    <n v="595"/>
    <x v="3"/>
    <x v="0"/>
    <n v="214"/>
    <n v="3286"/>
    <n v="10876"/>
    <n v="15.355140186915888"/>
    <n v="3.3097991479001827"/>
    <n v="50.822429906542055"/>
    <s v="Low"/>
  </r>
  <r>
    <n v="2020"/>
    <s v="Delhi"/>
    <n v="7"/>
    <s v="North West"/>
    <n v="82"/>
    <x v="5"/>
    <x v="1"/>
    <n v="0"/>
    <n v="0"/>
    <n v="0"/>
    <n v="0"/>
    <n v="0"/>
    <n v="0"/>
    <s v="Very Low"/>
  </r>
  <r>
    <n v="2020"/>
    <s v="Kerala"/>
    <n v="32"/>
    <s v="Kasaragod"/>
    <n v="558"/>
    <x v="3"/>
    <x v="0"/>
    <n v="0"/>
    <n v="0"/>
    <n v="0"/>
    <n v="0"/>
    <n v="0"/>
    <n v="0"/>
    <s v="Very Low"/>
  </r>
  <r>
    <n v="2020"/>
    <s v="Tamil Nadu"/>
    <n v="33"/>
    <s v="Ramanathapuram"/>
    <n v="583"/>
    <x v="3"/>
    <x v="0"/>
    <n v="83"/>
    <n v="1371"/>
    <n v="3599"/>
    <n v="16.518072289156628"/>
    <n v="2.62509117432531"/>
    <n v="43.361445783132531"/>
    <s v="Low"/>
  </r>
  <r>
    <n v="2020"/>
    <s v="Bihar"/>
    <n v="10"/>
    <s v="Jehanabad"/>
    <n v="199"/>
    <x v="0"/>
    <x v="2"/>
    <n v="0"/>
    <n v="0"/>
    <n v="0"/>
    <n v="0"/>
    <n v="0"/>
    <n v="0"/>
    <s v="Very Low"/>
  </r>
  <r>
    <n v="2020"/>
    <s v="Tamil Nadu"/>
    <n v="33"/>
    <s v="Pudukkottai"/>
    <n v="582"/>
    <x v="3"/>
    <x v="0"/>
    <n v="0"/>
    <n v="0"/>
    <n v="0"/>
    <n v="0"/>
    <n v="0"/>
    <n v="0"/>
    <s v="Very Low"/>
  </r>
  <r>
    <n v="2020"/>
    <s v="Assam"/>
    <n v="18"/>
    <s v="Goalpara"/>
    <n v="287"/>
    <x v="1"/>
    <x v="1"/>
    <n v="0"/>
    <n v="0"/>
    <n v="0"/>
    <n v="0"/>
    <n v="0"/>
    <n v="0"/>
    <s v="Very Low"/>
  </r>
  <r>
    <n v="2020"/>
    <s v="Uttar Pradesh"/>
    <n v="9"/>
    <s v="Mathura"/>
    <n v="167"/>
    <x v="2"/>
    <x v="0"/>
    <n v="0"/>
    <n v="0"/>
    <n v="0"/>
    <n v="0"/>
    <n v="0"/>
    <n v="0"/>
    <s v="Very Low"/>
  </r>
  <r>
    <n v="2020"/>
    <s v="Uttarakhand"/>
    <n v="5"/>
    <s v="Dehradun"/>
    <n v="49"/>
    <x v="2"/>
    <x v="1"/>
    <n v="0"/>
    <n v="0"/>
    <n v="0"/>
    <n v="0"/>
    <n v="0"/>
    <n v="0"/>
    <s v="Very Low"/>
  </r>
  <r>
    <n v="2020"/>
    <s v="Tamil Nadu"/>
    <n v="33"/>
    <s v="Coimbatore"/>
    <n v="569"/>
    <x v="3"/>
    <x v="3"/>
    <n v="480"/>
    <n v="4756"/>
    <n v="50120"/>
    <n v="9.9083333333333332"/>
    <n v="10.538267451640033"/>
    <n v="104.41666666666667"/>
    <s v="Medium"/>
  </r>
  <r>
    <n v="2020"/>
    <s v="Punjab"/>
    <n v="3"/>
    <s v="Rupnagar"/>
    <n v="42"/>
    <x v="5"/>
    <x v="0"/>
    <n v="0"/>
    <n v="0"/>
    <n v="0"/>
    <n v="0"/>
    <n v="0"/>
    <n v="0"/>
    <s v="Very Low"/>
  </r>
  <r>
    <n v="2020"/>
    <s v="Andhra Pradesh"/>
    <n v="28"/>
    <s v="Y.S.R."/>
    <n v="504"/>
    <x v="3"/>
    <x v="2"/>
    <n v="0"/>
    <n v="0"/>
    <n v="0"/>
    <n v="0"/>
    <n v="0"/>
    <n v="0"/>
    <s v="Very Low"/>
  </r>
  <r>
    <n v="2020"/>
    <s v="Rajasthan"/>
    <n v="8"/>
    <s v="Baran"/>
    <n v="89"/>
    <x v="5"/>
    <x v="1"/>
    <n v="0"/>
    <n v="0"/>
    <n v="0"/>
    <n v="0"/>
    <n v="0"/>
    <n v="0"/>
    <s v="Very Low"/>
  </r>
  <r>
    <n v="2020"/>
    <s v="Himachal Pradesh"/>
    <n v="2"/>
    <s v="Lahul and Spiti"/>
    <n v="21"/>
    <x v="5"/>
    <x v="1"/>
    <n v="16"/>
    <n v="62"/>
    <n v="523"/>
    <n v="3.875"/>
    <n v="8.435483870967742"/>
    <n v="32.6875"/>
    <s v="Medium"/>
  </r>
  <r>
    <n v="2020"/>
    <s v="Chhattisgarh"/>
    <n v="22"/>
    <s v="Korea"/>
    <n v="384"/>
    <x v="2"/>
    <x v="1"/>
    <n v="29"/>
    <n v="478"/>
    <n v="939"/>
    <n v="16.482758620689655"/>
    <n v="1.9644351464435146"/>
    <n v="32.379310344827587"/>
    <s v="Low"/>
  </r>
  <r>
    <n v="2020"/>
    <s v="Uttar Pradesh"/>
    <n v="9"/>
    <s v="Rae Bareli"/>
    <n v="175"/>
    <x v="2"/>
    <x v="1"/>
    <n v="0"/>
    <n v="0"/>
    <n v="0"/>
    <n v="0"/>
    <n v="0"/>
    <n v="0"/>
    <s v="Very Low"/>
  </r>
  <r>
    <n v="2020"/>
    <s v="West Bengal"/>
    <n v="19"/>
    <s v="Purulia"/>
    <n v="321"/>
    <x v="0"/>
    <x v="1"/>
    <n v="0"/>
    <n v="0"/>
    <n v="0"/>
    <n v="0"/>
    <n v="0"/>
    <n v="0"/>
    <s v="Very Low"/>
  </r>
  <r>
    <n v="2020"/>
    <s v="Meghalaya"/>
    <n v="17"/>
    <s v="West Garo Hills"/>
    <n v="278"/>
    <x v="1"/>
    <x v="1"/>
    <n v="18"/>
    <n v="311"/>
    <n v="485"/>
    <n v="17.277777777777779"/>
    <n v="1.5594855305466238"/>
    <n v="26.944444444444443"/>
    <s v="Low"/>
  </r>
  <r>
    <n v="2020"/>
    <s v="Madhya Pradesh"/>
    <n v="23"/>
    <s v="Morena"/>
    <n v="417"/>
    <x v="2"/>
    <x v="1"/>
    <n v="27"/>
    <n v="425"/>
    <n v="337"/>
    <n v="15.74074074074074"/>
    <n v="0.79294117647058826"/>
    <n v="12.481481481481481"/>
    <s v="Very Low"/>
  </r>
  <r>
    <n v="2020"/>
    <s v="Karnataka"/>
    <n v="29"/>
    <s v="Davangere"/>
    <n v="535"/>
    <x v="3"/>
    <x v="0"/>
    <n v="48"/>
    <n v="736"/>
    <n v="1769"/>
    <n v="15.333333333333334"/>
    <n v="2.4035326086956523"/>
    <n v="36.854166666666664"/>
    <s v="Low"/>
  </r>
  <r>
    <n v="2020"/>
    <s v="Bihar"/>
    <n v="10"/>
    <s v="Banka"/>
    <n v="190"/>
    <x v="0"/>
    <x v="1"/>
    <n v="70"/>
    <n v="1446"/>
    <n v="1939"/>
    <n v="20.657142857142858"/>
    <n v="1.3409405255878284"/>
    <n v="27.7"/>
    <s v="Low"/>
  </r>
  <r>
    <n v="2020"/>
    <s v="Telangana"/>
    <n v="36"/>
    <s v="Nagarkurnool"/>
    <n v="694"/>
    <x v="3"/>
    <x v="1"/>
    <n v="47"/>
    <n v="637"/>
    <n v="789"/>
    <n v="13.553191489361701"/>
    <n v="1.2386185243328101"/>
    <n v="16.787234042553191"/>
    <s v="Low"/>
  </r>
  <r>
    <n v="2020"/>
    <s v="Assam"/>
    <n v="18"/>
    <s v="Charaideo"/>
    <n v="708"/>
    <x v="1"/>
    <x v="0"/>
    <n v="10"/>
    <n v="157"/>
    <n v="440"/>
    <n v="15.7"/>
    <n v="2.8025477707006368"/>
    <n v="44"/>
    <s v="Low"/>
  </r>
  <r>
    <n v="2020"/>
    <s v="Uttar Pradesh"/>
    <n v="9"/>
    <s v="Jhansi"/>
    <n v="153"/>
    <x v="2"/>
    <x v="2"/>
    <n v="0"/>
    <n v="0"/>
    <n v="0"/>
    <n v="0"/>
    <n v="0"/>
    <n v="0"/>
    <s v="Very Low"/>
  </r>
  <r>
    <n v="2020"/>
    <s v="Maharashtra"/>
    <n v="27"/>
    <s v="Osmanabad"/>
    <n v="488"/>
    <x v="4"/>
    <x v="2"/>
    <n v="24"/>
    <n v="418"/>
    <n v="2386"/>
    <n v="17.416666666666668"/>
    <n v="5.7081339712918657"/>
    <n v="99.416666666666671"/>
    <s v="Low"/>
  </r>
  <r>
    <n v="2020"/>
    <s v="Karnataka"/>
    <n v="29"/>
    <s v="Ramanagara"/>
    <n v="631"/>
    <x v="3"/>
    <x v="1"/>
    <n v="0"/>
    <n v="0"/>
    <n v="0"/>
    <n v="0"/>
    <n v="0"/>
    <n v="0"/>
    <s v="Very Low"/>
  </r>
  <r>
    <n v="2020"/>
    <s v="Karnataka"/>
    <n v="29"/>
    <s v="Ballari"/>
    <n v="528"/>
    <x v="3"/>
    <x v="0"/>
    <n v="89"/>
    <n v="1654"/>
    <n v="4036"/>
    <n v="18.584269662921347"/>
    <n v="2.4401451027811367"/>
    <n v="45.348314606741575"/>
    <s v="Low"/>
  </r>
  <r>
    <n v="2020"/>
    <s v="Chhattisgarh"/>
    <n v="22"/>
    <s v="Korba"/>
    <n v="383"/>
    <x v="2"/>
    <x v="1"/>
    <n v="0"/>
    <n v="0"/>
    <n v="0"/>
    <n v="0"/>
    <n v="0"/>
    <n v="0"/>
    <s v="Very Low"/>
  </r>
  <r>
    <n v="2020"/>
    <s v="Mizoram"/>
    <n v="15"/>
    <s v="Khawzawl"/>
    <n v="728"/>
    <x v="1"/>
    <x v="1"/>
    <n v="5"/>
    <n v="20"/>
    <n v="50"/>
    <n v="4"/>
    <n v="2.5"/>
    <n v="10"/>
    <s v="Low"/>
  </r>
  <r>
    <n v="2020"/>
    <s v="Tamil Nadu"/>
    <n v="33"/>
    <s v="Thiruvallur"/>
    <n v="589"/>
    <x v="3"/>
    <x v="0"/>
    <n v="0"/>
    <n v="0"/>
    <n v="0"/>
    <n v="0"/>
    <n v="0"/>
    <n v="0"/>
    <s v="Very Low"/>
  </r>
  <r>
    <n v="2020"/>
    <s v="Uttar Pradesh"/>
    <n v="9"/>
    <s v="Gorakhpur"/>
    <n v="148"/>
    <x v="2"/>
    <x v="1"/>
    <n v="0"/>
    <n v="0"/>
    <n v="0"/>
    <n v="0"/>
    <n v="0"/>
    <n v="0"/>
    <s v="Very Low"/>
  </r>
  <r>
    <n v="2020"/>
    <s v="Chhattisgarh"/>
    <n v="22"/>
    <s v="Mungeli"/>
    <n v="647"/>
    <x v="2"/>
    <x v="0"/>
    <n v="0"/>
    <n v="0"/>
    <n v="0"/>
    <n v="0"/>
    <n v="0"/>
    <n v="0"/>
    <s v="Very Low"/>
  </r>
  <r>
    <n v="2020"/>
    <s v="Gujarat"/>
    <n v="24"/>
    <s v="Dang"/>
    <n v="444"/>
    <x v="4"/>
    <x v="0"/>
    <n v="0"/>
    <n v="0"/>
    <n v="0"/>
    <n v="0"/>
    <n v="0"/>
    <n v="0"/>
    <s v="Very Low"/>
  </r>
  <r>
    <n v="2020"/>
    <s v="Delhi"/>
    <n v="7"/>
    <s v="East"/>
    <n v="78"/>
    <x v="5"/>
    <x v="3"/>
    <n v="0"/>
    <n v="0"/>
    <n v="0"/>
    <n v="0"/>
    <n v="0"/>
    <n v="0"/>
    <s v="Very Low"/>
  </r>
  <r>
    <n v="2020"/>
    <s v="Odisha"/>
    <n v="21"/>
    <s v="Boudh"/>
    <n v="349"/>
    <x v="0"/>
    <x v="0"/>
    <n v="21"/>
    <n v="172"/>
    <n v="617"/>
    <n v="8.1904761904761898"/>
    <n v="3.5872093023255816"/>
    <n v="29.38095238095238"/>
    <s v="Low"/>
  </r>
  <r>
    <n v="2020"/>
    <s v="Jharkhand"/>
    <n v="20"/>
    <s v="Khunti"/>
    <n v="606"/>
    <x v="0"/>
    <x v="0"/>
    <n v="22"/>
    <n v="278"/>
    <n v="952"/>
    <n v="12.636363636363637"/>
    <n v="3.4244604316546763"/>
    <n v="43.272727272727273"/>
    <s v="Low"/>
  </r>
  <r>
    <n v="2020"/>
    <s v="Delhi"/>
    <n v="7"/>
    <s v="East"/>
    <n v="78"/>
    <x v="5"/>
    <x v="0"/>
    <n v="0"/>
    <n v="0"/>
    <n v="0"/>
    <n v="0"/>
    <n v="0"/>
    <n v="0"/>
    <s v="Very Low"/>
  </r>
  <r>
    <n v="2020"/>
    <s v="Haryana"/>
    <n v="6"/>
    <s v="Ambala"/>
    <n v="58"/>
    <x v="5"/>
    <x v="2"/>
    <n v="137"/>
    <n v="1543"/>
    <n v="14031"/>
    <n v="11.262773722627736"/>
    <n v="9.0933246921581343"/>
    <n v="102.41605839416059"/>
    <s v="Medium"/>
  </r>
  <r>
    <n v="2020"/>
    <s v="Himachal Pradesh"/>
    <n v="2"/>
    <s v="Bilaspur"/>
    <n v="375"/>
    <x v="5"/>
    <x v="0"/>
    <n v="17"/>
    <n v="144"/>
    <n v="1150"/>
    <n v="8.4705882352941178"/>
    <n v="7.9861111111111107"/>
    <n v="67.647058823529406"/>
    <s v="Medium"/>
  </r>
  <r>
    <n v="2020"/>
    <s v="Maharashtra"/>
    <n v="27"/>
    <s v="Dhule"/>
    <n v="474"/>
    <x v="4"/>
    <x v="0"/>
    <n v="0"/>
    <n v="0"/>
    <n v="0"/>
    <n v="0"/>
    <n v="0"/>
    <n v="0"/>
    <s v="Very Low"/>
  </r>
  <r>
    <n v="2020"/>
    <s v="Uttarakhand"/>
    <n v="5"/>
    <s v="Pithoragarh"/>
    <n v="53"/>
    <x v="2"/>
    <x v="1"/>
    <n v="65"/>
    <n v="584"/>
    <n v="2181"/>
    <n v="8.9846153846153847"/>
    <n v="3.7345890410958904"/>
    <n v="33.553846153846152"/>
    <s v="Low"/>
  </r>
  <r>
    <n v="2020"/>
    <s v="Uttar Pradesh"/>
    <n v="9"/>
    <s v="Sant Kabeer Nagar"/>
    <n v="178"/>
    <x v="2"/>
    <x v="1"/>
    <n v="0"/>
    <n v="0"/>
    <n v="0"/>
    <n v="0"/>
    <n v="0"/>
    <n v="0"/>
    <s v="Very Low"/>
  </r>
  <r>
    <n v="2020"/>
    <s v="Uttarakhand"/>
    <n v="5"/>
    <s v="Almora"/>
    <n v="45"/>
    <x v="2"/>
    <x v="1"/>
    <n v="0"/>
    <n v="0"/>
    <n v="0"/>
    <n v="0"/>
    <n v="0"/>
    <n v="0"/>
    <s v="Very Low"/>
  </r>
  <r>
    <n v="2020"/>
    <s v="Uttar Pradesh"/>
    <n v="9"/>
    <s v="Sant Kabeer Nagar"/>
    <n v="178"/>
    <x v="2"/>
    <x v="0"/>
    <n v="0"/>
    <n v="0"/>
    <n v="0"/>
    <n v="0"/>
    <n v="0"/>
    <n v="0"/>
    <s v="Very Low"/>
  </r>
  <r>
    <n v="2020"/>
    <s v="Bihar"/>
    <n v="10"/>
    <s v="Jamui"/>
    <n v="198"/>
    <x v="0"/>
    <x v="1"/>
    <n v="73"/>
    <n v="1398"/>
    <n v="1868"/>
    <n v="19.150684931506849"/>
    <n v="1.3361945636623749"/>
    <n v="25.589041095890412"/>
    <s v="Low"/>
  </r>
  <r>
    <n v="2020"/>
    <s v="Telangana"/>
    <n v="36"/>
    <s v="Karimnagar"/>
    <n v="508"/>
    <x v="3"/>
    <x v="1"/>
    <n v="0"/>
    <n v="0"/>
    <n v="0"/>
    <n v="0"/>
    <n v="0"/>
    <n v="0"/>
    <s v="Very Low"/>
  </r>
  <r>
    <n v="2020"/>
    <s v="Tamil Nadu"/>
    <n v="33"/>
    <s v="Ranipet"/>
    <n v="731"/>
    <x v="3"/>
    <x v="0"/>
    <n v="0"/>
    <n v="0"/>
    <n v="0"/>
    <n v="0"/>
    <n v="0"/>
    <n v="0"/>
    <s v="Very Low"/>
  </r>
  <r>
    <n v="2020"/>
    <s v="Telangana"/>
    <n v="36"/>
    <s v="Kamareddy"/>
    <n v="685"/>
    <x v="3"/>
    <x v="1"/>
    <n v="47"/>
    <n v="608"/>
    <n v="770"/>
    <n v="12.936170212765957"/>
    <n v="1.2664473684210527"/>
    <n v="16.382978723404257"/>
    <s v="Low"/>
  </r>
  <r>
    <n v="2020"/>
    <s v="Uttar Pradesh"/>
    <n v="9"/>
    <s v="Maharajganj"/>
    <n v="164"/>
    <x v="2"/>
    <x v="1"/>
    <n v="103"/>
    <n v="2324"/>
    <n v="3127"/>
    <n v="22.563106796116504"/>
    <n v="1.3455249569707401"/>
    <n v="30.359223300970875"/>
    <s v="Low"/>
  </r>
  <r>
    <n v="2020"/>
    <s v="Bihar"/>
    <n v="10"/>
    <s v="Rohtas"/>
    <n v="215"/>
    <x v="0"/>
    <x v="1"/>
    <n v="0"/>
    <n v="0"/>
    <n v="0"/>
    <n v="0"/>
    <n v="0"/>
    <n v="0"/>
    <s v="Very Low"/>
  </r>
  <r>
    <n v="2020"/>
    <s v="Haryana"/>
    <n v="6"/>
    <s v="Ambala"/>
    <n v="58"/>
    <x v="5"/>
    <x v="1"/>
    <n v="111"/>
    <n v="812"/>
    <n v="3252"/>
    <n v="7.3153153153153152"/>
    <n v="4.0049261083743843"/>
    <n v="29.297297297297298"/>
    <s v="Low"/>
  </r>
  <r>
    <n v="2020"/>
    <s v="Haryana"/>
    <n v="6"/>
    <s v="Palwal"/>
    <n v="619"/>
    <x v="5"/>
    <x v="2"/>
    <n v="35"/>
    <n v="556"/>
    <n v="3007"/>
    <n v="15.885714285714286"/>
    <n v="5.4082733812949639"/>
    <n v="85.914285714285711"/>
    <s v="Low"/>
  </r>
  <r>
    <n v="2020"/>
    <s v="Haryana"/>
    <n v="6"/>
    <s v="Yamunanagar"/>
    <n v="76"/>
    <x v="5"/>
    <x v="2"/>
    <n v="106"/>
    <n v="1230"/>
    <n v="9100"/>
    <n v="11.60377358490566"/>
    <n v="7.3983739837398375"/>
    <n v="85.84905660377359"/>
    <s v="Medium"/>
  </r>
  <r>
    <n v="2020"/>
    <s v="Gujarat"/>
    <n v="24"/>
    <s v="Bharuch"/>
    <n v="442"/>
    <x v="4"/>
    <x v="0"/>
    <n v="108"/>
    <n v="1287"/>
    <n v="8056"/>
    <n v="11.916666666666666"/>
    <n v="6.2595182595182592"/>
    <n v="74.592592592592595"/>
    <s v="Low"/>
  </r>
  <r>
    <n v="2020"/>
    <s v="Telangana"/>
    <n v="36"/>
    <s v="Jangoan"/>
    <n v="689"/>
    <x v="3"/>
    <x v="0"/>
    <n v="22"/>
    <n v="308"/>
    <n v="795"/>
    <n v="14"/>
    <n v="2.581168831168831"/>
    <n v="36.136363636363633"/>
    <s v="Low"/>
  </r>
  <r>
    <n v="2020"/>
    <s v="Bihar"/>
    <n v="10"/>
    <s v="Nalanda"/>
    <n v="209"/>
    <x v="0"/>
    <x v="0"/>
    <n v="0"/>
    <n v="0"/>
    <n v="0"/>
    <n v="0"/>
    <n v="0"/>
    <n v="0"/>
    <s v="Very Low"/>
  </r>
  <r>
    <n v="2020"/>
    <s v="Chhattisgarh"/>
    <n v="22"/>
    <s v="Surguja"/>
    <n v="389"/>
    <x v="2"/>
    <x v="1"/>
    <n v="48"/>
    <n v="992"/>
    <n v="1513"/>
    <n v="20.666666666666668"/>
    <n v="1.5252016129032258"/>
    <n v="31.520833333333332"/>
    <s v="Low"/>
  </r>
  <r>
    <n v="2020"/>
    <s v="Chhattisgarh"/>
    <n v="22"/>
    <s v="Mahasamund"/>
    <n v="385"/>
    <x v="2"/>
    <x v="0"/>
    <n v="64"/>
    <n v="954"/>
    <n v="1978"/>
    <n v="14.90625"/>
    <n v="2.0733752620545074"/>
    <n v="30.90625"/>
    <s v="Low"/>
  </r>
  <r>
    <n v="2020"/>
    <s v="Madhya Pradesh"/>
    <n v="23"/>
    <s v="Rajgarh"/>
    <n v="422"/>
    <x v="2"/>
    <x v="0"/>
    <n v="0"/>
    <n v="0"/>
    <n v="0"/>
    <n v="0"/>
    <n v="0"/>
    <n v="0"/>
    <s v="Very Low"/>
  </r>
  <r>
    <n v="2020"/>
    <s v="Bihar"/>
    <n v="10"/>
    <s v="Begusarai"/>
    <n v="191"/>
    <x v="0"/>
    <x v="2"/>
    <n v="46"/>
    <n v="637"/>
    <n v="2853"/>
    <n v="13.847826086956522"/>
    <n v="4.4788069073783356"/>
    <n v="62.021739130434781"/>
    <s v="Low"/>
  </r>
  <r>
    <n v="2020"/>
    <s v="Kerala"/>
    <n v="32"/>
    <s v="Alappuzha"/>
    <n v="554"/>
    <x v="3"/>
    <x v="0"/>
    <n v="0"/>
    <n v="0"/>
    <n v="0"/>
    <n v="0"/>
    <n v="0"/>
    <n v="0"/>
    <s v="Very Low"/>
  </r>
  <r>
    <n v="2020"/>
    <s v="Gujarat"/>
    <n v="24"/>
    <s v="Navsari"/>
    <n v="453"/>
    <x v="4"/>
    <x v="0"/>
    <n v="0"/>
    <n v="0"/>
    <n v="0"/>
    <n v="0"/>
    <n v="0"/>
    <n v="0"/>
    <s v="Very Low"/>
  </r>
  <r>
    <n v="2020"/>
    <s v="Karnataka"/>
    <n v="29"/>
    <s v="Udupi"/>
    <n v="549"/>
    <x v="3"/>
    <x v="2"/>
    <n v="0"/>
    <n v="0"/>
    <n v="0"/>
    <n v="0"/>
    <n v="0"/>
    <n v="0"/>
    <s v="Very Low"/>
  </r>
  <r>
    <n v="2020"/>
    <s v="Rajasthan"/>
    <n v="8"/>
    <s v="Udaipur"/>
    <n v="117"/>
    <x v="5"/>
    <x v="1"/>
    <n v="0"/>
    <n v="0"/>
    <n v="0"/>
    <n v="0"/>
    <n v="0"/>
    <n v="0"/>
    <s v="Very Low"/>
  </r>
  <r>
    <n v="2020"/>
    <s v="Uttar Pradesh"/>
    <n v="9"/>
    <s v="Jhansi"/>
    <n v="153"/>
    <x v="2"/>
    <x v="1"/>
    <n v="51"/>
    <n v="711"/>
    <n v="1608"/>
    <n v="13.941176470588236"/>
    <n v="2.2616033755274261"/>
    <n v="31.529411764705884"/>
    <s v="Low"/>
  </r>
  <r>
    <n v="2020"/>
    <s v="Uttar Pradesh"/>
    <n v="9"/>
    <s v="Fatehpur"/>
    <n v="142"/>
    <x v="2"/>
    <x v="1"/>
    <n v="111"/>
    <n v="1800"/>
    <n v="3021"/>
    <n v="16.216216216216218"/>
    <n v="1.6783333333333332"/>
    <n v="27.216216216216218"/>
    <s v="Low"/>
  </r>
  <r>
    <n v="2020"/>
    <s v="Bihar"/>
    <n v="10"/>
    <s v="Lakhisarai"/>
    <n v="204"/>
    <x v="0"/>
    <x v="1"/>
    <n v="44"/>
    <n v="595"/>
    <n v="1006"/>
    <n v="13.522727272727273"/>
    <n v="1.6907563025210084"/>
    <n v="22.863636363636363"/>
    <s v="Low"/>
  </r>
  <r>
    <n v="2020"/>
    <s v="Punjab"/>
    <n v="3"/>
    <s v="Patiala"/>
    <n v="41"/>
    <x v="5"/>
    <x v="0"/>
    <n v="119"/>
    <n v="1415"/>
    <n v="7629"/>
    <n v="11.890756302521009"/>
    <n v="5.3915194346289752"/>
    <n v="64.109243697478988"/>
    <s v="Low"/>
  </r>
  <r>
    <n v="2020"/>
    <s v="Telangana"/>
    <n v="36"/>
    <s v="Nalgonda"/>
    <n v="514"/>
    <x v="3"/>
    <x v="2"/>
    <n v="0"/>
    <n v="0"/>
    <n v="0"/>
    <n v="0"/>
    <n v="0"/>
    <n v="0"/>
    <s v="Very Low"/>
  </r>
  <r>
    <n v="2020"/>
    <s v="Gujarat"/>
    <n v="24"/>
    <s v="Ahmadabad"/>
    <n v="438"/>
    <x v="4"/>
    <x v="3"/>
    <n v="1193"/>
    <n v="13985"/>
    <n v="196020"/>
    <n v="11.72254819782062"/>
    <n v="14.016446192348946"/>
    <n v="164.30846605196982"/>
    <s v="High"/>
  </r>
  <r>
    <n v="2020"/>
    <s v="Jharkhand"/>
    <n v="20"/>
    <s v="Dumka"/>
    <n v="326"/>
    <x v="0"/>
    <x v="0"/>
    <n v="40"/>
    <n v="505"/>
    <n v="2409"/>
    <n v="12.625"/>
    <n v="4.7702970297029701"/>
    <n v="60.225000000000001"/>
    <s v="Low"/>
  </r>
  <r>
    <n v="2020"/>
    <s v="Haryana"/>
    <n v="6"/>
    <s v="Rohtak"/>
    <n v="73"/>
    <x v="5"/>
    <x v="0"/>
    <n v="34"/>
    <n v="387"/>
    <n v="1942"/>
    <n v="11.382352941176471"/>
    <n v="5.018087855297158"/>
    <n v="57.117647058823529"/>
    <s v="Low"/>
  </r>
  <r>
    <n v="2020"/>
    <s v="Kerala"/>
    <n v="32"/>
    <s v="Pathanamthitta"/>
    <n v="564"/>
    <x v="3"/>
    <x v="1"/>
    <n v="0"/>
    <n v="0"/>
    <n v="0"/>
    <n v="0"/>
    <n v="0"/>
    <n v="0"/>
    <s v="Very Low"/>
  </r>
  <r>
    <n v="2020"/>
    <s v="Uttar Pradesh"/>
    <n v="9"/>
    <s v="Basti"/>
    <n v="131"/>
    <x v="2"/>
    <x v="2"/>
    <n v="0"/>
    <n v="0"/>
    <n v="0"/>
    <n v="0"/>
    <n v="0"/>
    <n v="0"/>
    <s v="Very Low"/>
  </r>
  <r>
    <n v="2020"/>
    <s v="Odisha"/>
    <n v="21"/>
    <s v="Sundargarh"/>
    <n v="373"/>
    <x v="0"/>
    <x v="1"/>
    <n v="110"/>
    <n v="1653"/>
    <n v="5258"/>
    <n v="15.027272727272727"/>
    <n v="3.1808832425892315"/>
    <n v="47.8"/>
    <s v="Low"/>
  </r>
  <r>
    <n v="2020"/>
    <s v="Gujarat"/>
    <n v="24"/>
    <s v="Banas Kantha"/>
    <n v="441"/>
    <x v="4"/>
    <x v="1"/>
    <n v="89"/>
    <n v="1266"/>
    <n v="2025"/>
    <n v="14.224719101123595"/>
    <n v="1.5995260663507109"/>
    <n v="22.752808988764045"/>
    <s v="Low"/>
  </r>
  <r>
    <n v="2020"/>
    <s v="Madhya Pradesh"/>
    <n v="23"/>
    <s v="Betul"/>
    <n v="394"/>
    <x v="2"/>
    <x v="0"/>
    <n v="0"/>
    <n v="0"/>
    <n v="0"/>
    <n v="0"/>
    <n v="0"/>
    <n v="0"/>
    <s v="Very Low"/>
  </r>
  <r>
    <n v="2020"/>
    <s v="Chhattisgarh"/>
    <n v="22"/>
    <s v="Gaurella Pendra Marwahi"/>
    <n v="734"/>
    <x v="2"/>
    <x v="1"/>
    <n v="7"/>
    <n v="187"/>
    <n v="227"/>
    <n v="26.714285714285715"/>
    <n v="1.213903743315508"/>
    <n v="32.428571428571431"/>
    <s v="Low"/>
  </r>
  <r>
    <n v="2020"/>
    <s v="Uttar Pradesh"/>
    <n v="9"/>
    <s v="Hathras"/>
    <n v="163"/>
    <x v="2"/>
    <x v="2"/>
    <n v="43"/>
    <n v="525"/>
    <n v="2572"/>
    <n v="12.209302325581396"/>
    <n v="4.8990476190476189"/>
    <n v="59.813953488372093"/>
    <s v="Low"/>
  </r>
  <r>
    <n v="2020"/>
    <s v="Punjab"/>
    <n v="3"/>
    <s v="Patiala"/>
    <n v="41"/>
    <x v="5"/>
    <x v="2"/>
    <n v="0"/>
    <n v="0"/>
    <n v="0"/>
    <n v="0"/>
    <n v="0"/>
    <n v="0"/>
    <s v="Very Low"/>
  </r>
  <r>
    <n v="2020"/>
    <s v="Tamil Nadu"/>
    <n v="33"/>
    <s v="Sivaganga"/>
    <n v="585"/>
    <x v="3"/>
    <x v="1"/>
    <n v="0"/>
    <n v="0"/>
    <n v="0"/>
    <n v="0"/>
    <n v="0"/>
    <n v="0"/>
    <s v="Very Low"/>
  </r>
  <r>
    <n v="2020"/>
    <s v="Rajasthan"/>
    <n v="8"/>
    <s v="Karauli"/>
    <n v="108"/>
    <x v="5"/>
    <x v="1"/>
    <n v="59"/>
    <n v="860"/>
    <n v="1301"/>
    <n v="14.576271186440678"/>
    <n v="1.5127906976744185"/>
    <n v="22.050847457627118"/>
    <s v="Low"/>
  </r>
  <r>
    <n v="2020"/>
    <s v="Odisha"/>
    <n v="21"/>
    <s v="Sundargarh"/>
    <n v="373"/>
    <x v="0"/>
    <x v="0"/>
    <n v="48"/>
    <n v="616"/>
    <n v="4669"/>
    <n v="12.833333333333334"/>
    <n v="7.5795454545454541"/>
    <n v="97.270833333333329"/>
    <s v="Medium"/>
  </r>
  <r>
    <n v="2020"/>
    <s v="Uttar Pradesh"/>
    <n v="9"/>
    <s v="Firozabad"/>
    <n v="143"/>
    <x v="2"/>
    <x v="1"/>
    <n v="52"/>
    <n v="778"/>
    <n v="953"/>
    <n v="14.961538461538462"/>
    <n v="1.224935732647815"/>
    <n v="18.326923076923077"/>
    <s v="Low"/>
  </r>
  <r>
    <n v="2020"/>
    <s v="Kerala"/>
    <n v="32"/>
    <s v="Pathanamthitta"/>
    <n v="564"/>
    <x v="3"/>
    <x v="1"/>
    <n v="9"/>
    <n v="52"/>
    <n v="678"/>
    <n v="5.7777777777777777"/>
    <n v="13.038461538461538"/>
    <n v="75.333333333333329"/>
    <s v="High"/>
  </r>
  <r>
    <n v="2020"/>
    <s v="Karnataka"/>
    <n v="29"/>
    <s v="Bijapur"/>
    <n v="636"/>
    <x v="3"/>
    <x v="1"/>
    <n v="110"/>
    <n v="1404"/>
    <n v="1749"/>
    <n v="12.763636363636364"/>
    <n v="1.2457264957264957"/>
    <n v="15.9"/>
    <s v="Low"/>
  </r>
  <r>
    <n v="2020"/>
    <s v="Assam"/>
    <n v="18"/>
    <s v="Tinsukia"/>
    <n v="302"/>
    <x v="1"/>
    <x v="1"/>
    <n v="52"/>
    <n v="712"/>
    <n v="1185"/>
    <n v="13.692307692307692"/>
    <n v="1.6643258426966292"/>
    <n v="22.78846153846154"/>
    <s v="Low"/>
  </r>
  <r>
    <n v="2020"/>
    <s v="Maharashtra"/>
    <n v="27"/>
    <s v="Ahmednagar"/>
    <n v="466"/>
    <x v="4"/>
    <x v="1"/>
    <n v="174"/>
    <n v="2157"/>
    <n v="4271"/>
    <n v="12.396551724137931"/>
    <n v="1.9800649049605934"/>
    <n v="24.545977011494251"/>
    <s v="Low"/>
  </r>
  <r>
    <n v="2020"/>
    <s v="Odisha"/>
    <n v="21"/>
    <s v="Khordha"/>
    <n v="362"/>
    <x v="0"/>
    <x v="0"/>
    <n v="64"/>
    <n v="798"/>
    <n v="3639"/>
    <n v="12.46875"/>
    <n v="4.5601503759398501"/>
    <n v="56.859375"/>
    <s v="Low"/>
  </r>
  <r>
    <n v="2020"/>
    <s v="Lakshadweep"/>
    <n v="31"/>
    <s v="Lakshadweep District"/>
    <n v="553"/>
    <x v="3"/>
    <x v="0"/>
    <n v="7"/>
    <n v="58"/>
    <n v="804"/>
    <n v="8.2857142857142865"/>
    <n v="13.862068965517242"/>
    <n v="114.85714285714286"/>
    <s v="High"/>
  </r>
  <r>
    <n v="2020"/>
    <s v="Assam"/>
    <n v="18"/>
    <s v="Jorhat"/>
    <n v="290"/>
    <x v="1"/>
    <x v="1"/>
    <n v="0"/>
    <n v="0"/>
    <n v="0"/>
    <n v="0"/>
    <n v="0"/>
    <n v="0"/>
    <s v="Very Low"/>
  </r>
  <r>
    <n v="2020"/>
    <s v="Bihar"/>
    <n v="10"/>
    <s v="Nalanda"/>
    <n v="209"/>
    <x v="0"/>
    <x v="2"/>
    <n v="44"/>
    <n v="853"/>
    <n v="3911"/>
    <n v="19.386363636363637"/>
    <n v="4.5849941383352872"/>
    <n v="88.88636363636364"/>
    <s v="Low"/>
  </r>
  <r>
    <n v="2020"/>
    <s v="Tamil Nadu"/>
    <n v="33"/>
    <s v="Coimbatore"/>
    <n v="569"/>
    <x v="3"/>
    <x v="0"/>
    <n v="272"/>
    <n v="3126"/>
    <n v="17305"/>
    <n v="11.492647058823529"/>
    <n v="5.5358285348688421"/>
    <n v="63.621323529411768"/>
    <s v="Low"/>
  </r>
  <r>
    <n v="2020"/>
    <s v="West Bengal"/>
    <n v="19"/>
    <s v="24 Paraganas South"/>
    <n v="304"/>
    <x v="0"/>
    <x v="1"/>
    <n v="0"/>
    <n v="0"/>
    <n v="0"/>
    <n v="0"/>
    <n v="0"/>
    <n v="0"/>
    <s v="Very Low"/>
  </r>
  <r>
    <n v="2020"/>
    <s v="Telangana"/>
    <n v="36"/>
    <s v="Kumuram Bheem Asifabad"/>
    <n v="699"/>
    <x v="3"/>
    <x v="1"/>
    <n v="0"/>
    <n v="0"/>
    <n v="0"/>
    <n v="0"/>
    <n v="0"/>
    <n v="0"/>
    <s v="Very Low"/>
  </r>
  <r>
    <n v="2020"/>
    <s v="Punjab"/>
    <n v="3"/>
    <s v="Moga"/>
    <n v="38"/>
    <x v="5"/>
    <x v="2"/>
    <n v="67"/>
    <n v="677"/>
    <n v="4983"/>
    <n v="10.104477611940299"/>
    <n v="7.3604135893648452"/>
    <n v="74.373134328358205"/>
    <s v="Medium"/>
  </r>
  <r>
    <n v="2020"/>
    <s v="Madhya Pradesh"/>
    <n v="23"/>
    <s v="Burhanpur"/>
    <n v="397"/>
    <x v="2"/>
    <x v="1"/>
    <n v="21"/>
    <n v="304"/>
    <n v="388"/>
    <n v="14.476190476190476"/>
    <n v="1.2763157894736843"/>
    <n v="18.476190476190474"/>
    <s v="Low"/>
  </r>
  <r>
    <n v="2020"/>
    <s v="Odisha"/>
    <n v="21"/>
    <s v="Jharsuguda"/>
    <n v="357"/>
    <x v="0"/>
    <x v="1"/>
    <n v="35"/>
    <n v="426"/>
    <n v="1127"/>
    <n v="12.171428571428571"/>
    <n v="2.6455399061032865"/>
    <n v="32.200000000000003"/>
    <s v="Low"/>
  </r>
  <r>
    <n v="2020"/>
    <s v="Chandigarh"/>
    <n v="4"/>
    <s v="Chandigarh"/>
    <n v="44"/>
    <x v="5"/>
    <x v="2"/>
    <n v="437"/>
    <n v="4192"/>
    <n v="71788"/>
    <n v="9.5926773455377568"/>
    <n v="17.125"/>
    <n v="164.2745995423341"/>
    <s v="High"/>
  </r>
  <r>
    <n v="2020"/>
    <s v="Sikkim"/>
    <n v="11"/>
    <s v="South District"/>
    <n v="227"/>
    <x v="0"/>
    <x v="1"/>
    <n v="0"/>
    <n v="0"/>
    <n v="0"/>
    <n v="0"/>
    <n v="0"/>
    <n v="0"/>
    <s v="Very Low"/>
  </r>
  <r>
    <n v="2020"/>
    <s v="Manipur"/>
    <n v="14"/>
    <s v="Imphal East"/>
    <n v="255"/>
    <x v="1"/>
    <x v="1"/>
    <n v="0"/>
    <n v="0"/>
    <n v="0"/>
    <n v="0"/>
    <n v="0"/>
    <n v="0"/>
    <s v="Very Low"/>
  </r>
  <r>
    <n v="2020"/>
    <s v="Himachal Pradesh"/>
    <n v="2"/>
    <s v="Hamirpur"/>
    <n v="17"/>
    <x v="5"/>
    <x v="1"/>
    <n v="95"/>
    <n v="968"/>
    <n v="5576"/>
    <n v="10.189473684210526"/>
    <n v="5.7603305785123968"/>
    <n v="58.694736842105264"/>
    <s v="Low"/>
  </r>
  <r>
    <n v="2020"/>
    <s v="Telangana"/>
    <n v="36"/>
    <s v="Jogulamba Gadwal"/>
    <n v="695"/>
    <x v="3"/>
    <x v="1"/>
    <n v="0"/>
    <n v="0"/>
    <n v="0"/>
    <n v="0"/>
    <n v="0"/>
    <n v="0"/>
    <s v="Very Low"/>
  </r>
  <r>
    <n v="2020"/>
    <s v="Maharashtra"/>
    <n v="27"/>
    <s v="Jalgaon"/>
    <n v="478"/>
    <x v="4"/>
    <x v="0"/>
    <n v="0"/>
    <n v="0"/>
    <n v="0"/>
    <n v="0"/>
    <n v="0"/>
    <n v="0"/>
    <s v="Very Low"/>
  </r>
  <r>
    <n v="2020"/>
    <s v="Bihar"/>
    <n v="10"/>
    <s v="Sheohar"/>
    <n v="220"/>
    <x v="0"/>
    <x v="0"/>
    <n v="0"/>
    <n v="0"/>
    <n v="0"/>
    <n v="0"/>
    <n v="0"/>
    <n v="0"/>
    <s v="Very Low"/>
  </r>
  <r>
    <n v="2020"/>
    <s v="West Bengal"/>
    <n v="19"/>
    <s v="Howrah"/>
    <n v="313"/>
    <x v="0"/>
    <x v="2"/>
    <n v="0"/>
    <n v="0"/>
    <n v="0"/>
    <n v="0"/>
    <n v="0"/>
    <n v="0"/>
    <s v="Very Low"/>
  </r>
  <r>
    <n v="2020"/>
    <s v="Tripura"/>
    <n v="16"/>
    <s v="West Tripura"/>
    <n v="272"/>
    <x v="1"/>
    <x v="1"/>
    <n v="49"/>
    <n v="462"/>
    <n v="3092"/>
    <n v="9.4285714285714288"/>
    <n v="6.6926406926406923"/>
    <n v="63.102040816326529"/>
    <s v="Low"/>
  </r>
  <r>
    <n v="2020"/>
    <s v="Manipur"/>
    <n v="14"/>
    <s v="Thoubal"/>
    <n v="259"/>
    <x v="1"/>
    <x v="1"/>
    <n v="5"/>
    <n v="92"/>
    <n v="47"/>
    <n v="18.399999999999999"/>
    <n v="0.51086956521739135"/>
    <n v="9.4"/>
    <s v="Very Low"/>
  </r>
  <r>
    <n v="2020"/>
    <s v="West Bengal"/>
    <n v="19"/>
    <s v="Maldah"/>
    <n v="316"/>
    <x v="0"/>
    <x v="1"/>
    <n v="175"/>
    <n v="3878"/>
    <n v="4693"/>
    <n v="22.16"/>
    <n v="1.2101598762248582"/>
    <n v="26.817142857142859"/>
    <s v="Low"/>
  </r>
  <r>
    <n v="2020"/>
    <s v="Bihar"/>
    <n v="10"/>
    <s v="Pashchim Champaran"/>
    <n v="211"/>
    <x v="0"/>
    <x v="2"/>
    <n v="47"/>
    <n v="929"/>
    <n v="2945"/>
    <n v="19.76595744680851"/>
    <n v="3.1700753498385361"/>
    <n v="62.659574468085104"/>
    <s v="Low"/>
  </r>
  <r>
    <n v="2020"/>
    <s v="Assam"/>
    <n v="18"/>
    <s v="Cachar"/>
    <n v="282"/>
    <x v="1"/>
    <x v="1"/>
    <n v="0"/>
    <n v="0"/>
    <n v="0"/>
    <n v="0"/>
    <n v="0"/>
    <n v="0"/>
    <s v="Very Low"/>
  </r>
  <r>
    <n v="2020"/>
    <s v="Madhya Pradesh"/>
    <n v="23"/>
    <s v="Ujjain"/>
    <n v="435"/>
    <x v="2"/>
    <x v="1"/>
    <n v="0"/>
    <n v="0"/>
    <n v="0"/>
    <n v="0"/>
    <n v="0"/>
    <n v="0"/>
    <s v="Very Low"/>
  </r>
  <r>
    <n v="2020"/>
    <s v="Mizoram"/>
    <n v="15"/>
    <s v="Lawngtlai"/>
    <n v="264"/>
    <x v="1"/>
    <x v="1"/>
    <n v="0"/>
    <n v="0"/>
    <n v="0"/>
    <n v="0"/>
    <n v="0"/>
    <n v="0"/>
    <s v="Very Low"/>
  </r>
  <r>
    <n v="2020"/>
    <s v="Assam"/>
    <n v="18"/>
    <s v="Baksa"/>
    <n v="616"/>
    <x v="1"/>
    <x v="1"/>
    <n v="0"/>
    <n v="0"/>
    <n v="0"/>
    <n v="0"/>
    <n v="0"/>
    <n v="0"/>
    <s v="Very Low"/>
  </r>
  <r>
    <n v="2020"/>
    <s v="Kerala"/>
    <n v="32"/>
    <s v="Kozhikode"/>
    <n v="561"/>
    <x v="3"/>
    <x v="1"/>
    <n v="0"/>
    <n v="0"/>
    <n v="0"/>
    <n v="0"/>
    <n v="0"/>
    <n v="0"/>
    <s v="Very Low"/>
  </r>
  <r>
    <n v="2020"/>
    <s v="Rajasthan"/>
    <n v="8"/>
    <s v="Jaipur"/>
    <n v="102"/>
    <x v="5"/>
    <x v="3"/>
    <n v="787"/>
    <n v="8363"/>
    <n v="107354"/>
    <n v="10.626429479034307"/>
    <n v="12.836781059428434"/>
    <n v="136.40914866581957"/>
    <s v="High"/>
  </r>
  <r>
    <n v="2020"/>
    <s v="Bihar"/>
    <n v="10"/>
    <s v="Munger"/>
    <n v="207"/>
    <x v="0"/>
    <x v="0"/>
    <n v="0"/>
    <n v="0"/>
    <n v="0"/>
    <n v="0"/>
    <n v="0"/>
    <n v="0"/>
    <s v="Very Low"/>
  </r>
  <r>
    <n v="2020"/>
    <s v="Madhya Pradesh"/>
    <n v="23"/>
    <s v="Katni"/>
    <n v="413"/>
    <x v="2"/>
    <x v="0"/>
    <n v="7"/>
    <n v="175"/>
    <n v="380"/>
    <n v="25"/>
    <n v="2.1714285714285713"/>
    <n v="54.285714285714285"/>
    <s v="Low"/>
  </r>
  <r>
    <n v="2020"/>
    <s v="Chhattisgarh"/>
    <n v="22"/>
    <s v="Mungeli"/>
    <n v="647"/>
    <x v="2"/>
    <x v="1"/>
    <n v="18"/>
    <n v="457"/>
    <n v="451"/>
    <n v="25.388888888888889"/>
    <n v="0.98687089715536103"/>
    <n v="25.055555555555557"/>
    <s v="Very Low"/>
  </r>
  <r>
    <n v="2020"/>
    <s v="Bihar"/>
    <n v="10"/>
    <s v="Begusarai"/>
    <n v="191"/>
    <x v="0"/>
    <x v="1"/>
    <n v="0"/>
    <n v="0"/>
    <n v="0"/>
    <n v="0"/>
    <n v="0"/>
    <n v="0"/>
    <s v="Very Low"/>
  </r>
  <r>
    <n v="2020"/>
    <s v="Rajasthan"/>
    <n v="8"/>
    <s v="Pali"/>
    <n v="111"/>
    <x v="5"/>
    <x v="1"/>
    <n v="0"/>
    <n v="0"/>
    <n v="0"/>
    <n v="0"/>
    <n v="0"/>
    <n v="0"/>
    <s v="Very Low"/>
  </r>
  <r>
    <n v="2020"/>
    <s v="Maharashtra"/>
    <n v="27"/>
    <s v="Raigad"/>
    <n v="491"/>
    <x v="4"/>
    <x v="0"/>
    <n v="0"/>
    <n v="0"/>
    <n v="0"/>
    <n v="0"/>
    <n v="0"/>
    <n v="0"/>
    <s v="Very Low"/>
  </r>
  <r>
    <n v="2020"/>
    <s v="Telangana"/>
    <n v="36"/>
    <s v="Mahabubabad"/>
    <n v="688"/>
    <x v="3"/>
    <x v="0"/>
    <n v="34"/>
    <n v="734"/>
    <n v="1131"/>
    <n v="21.588235294117649"/>
    <n v="1.5408719346049047"/>
    <n v="33.264705882352942"/>
    <s v="Low"/>
  </r>
  <r>
    <n v="2020"/>
    <s v="Uttar Pradesh"/>
    <n v="9"/>
    <s v="Jaunpur"/>
    <n v="152"/>
    <x v="2"/>
    <x v="2"/>
    <n v="0"/>
    <n v="0"/>
    <n v="0"/>
    <n v="0"/>
    <n v="0"/>
    <n v="0"/>
    <s v="Very Low"/>
  </r>
  <r>
    <n v="2019"/>
    <s v="Uttar Pradesh"/>
    <n v="9"/>
    <s v="Banda"/>
    <n v="128"/>
    <x v="2"/>
    <x v="0"/>
    <n v="28"/>
    <n v="610"/>
    <n v="1123"/>
    <n v="21.785714285714285"/>
    <n v="1.840983606557377"/>
    <n v="40.107142857142854"/>
    <s v="Low"/>
  </r>
  <r>
    <n v="2019"/>
    <s v="Assam"/>
    <n v="18"/>
    <s v="Sivasagar"/>
    <n v="300"/>
    <x v="1"/>
    <x v="1"/>
    <n v="33"/>
    <n v="568"/>
    <n v="1245"/>
    <n v="17.212121212121211"/>
    <n v="2.191901408450704"/>
    <n v="37.727272727272727"/>
    <s v="Low"/>
  </r>
  <r>
    <n v="2019"/>
    <s v="Gujarat"/>
    <n v="24"/>
    <s v="Panch Mahals"/>
    <n v="454"/>
    <x v="4"/>
    <x v="1"/>
    <n v="68"/>
    <n v="1059"/>
    <n v="1508"/>
    <n v="15.573529411764707"/>
    <n v="1.4239848914069877"/>
    <n v="22.176470588235293"/>
    <s v="Low"/>
  </r>
  <r>
    <n v="2019"/>
    <s v="Gujarat"/>
    <n v="24"/>
    <s v="Ahmadabad"/>
    <n v="438"/>
    <x v="4"/>
    <x v="0"/>
    <n v="0"/>
    <n v="0"/>
    <n v="0"/>
    <n v="0"/>
    <n v="0"/>
    <n v="0"/>
    <s v="Very Low"/>
  </r>
  <r>
    <n v="2019"/>
    <s v="Punjab"/>
    <n v="3"/>
    <s v="Tarn Taran"/>
    <n v="609"/>
    <x v="5"/>
    <x v="1"/>
    <n v="90"/>
    <n v="793"/>
    <n v="1934"/>
    <n v="8.8111111111111118"/>
    <n v="2.4388398486759142"/>
    <n v="21.488888888888887"/>
    <s v="Low"/>
  </r>
  <r>
    <n v="2019"/>
    <s v="Bihar"/>
    <n v="10"/>
    <s v="Begusarai"/>
    <n v="191"/>
    <x v="0"/>
    <x v="0"/>
    <n v="80"/>
    <n v="1674"/>
    <n v="3299"/>
    <n v="20.925000000000001"/>
    <n v="1.9707287933094384"/>
    <n v="41.237499999999997"/>
    <s v="Low"/>
  </r>
  <r>
    <n v="2019"/>
    <s v="Delhi"/>
    <n v="7"/>
    <s v="Central"/>
    <n v="77"/>
    <x v="5"/>
    <x v="3"/>
    <n v="0"/>
    <n v="0"/>
    <n v="0"/>
    <n v="0"/>
    <n v="0"/>
    <n v="0"/>
    <s v="Very Low"/>
  </r>
  <r>
    <n v="2019"/>
    <s v="Telangana"/>
    <n v="36"/>
    <s v="Kamareddy"/>
    <n v="685"/>
    <x v="3"/>
    <x v="0"/>
    <n v="0"/>
    <n v="0"/>
    <n v="0"/>
    <n v="0"/>
    <n v="0"/>
    <n v="0"/>
    <s v="Very Low"/>
  </r>
  <r>
    <n v="2019"/>
    <s v="Haryana"/>
    <n v="6"/>
    <s v="Kurukshetra"/>
    <n v="68"/>
    <x v="5"/>
    <x v="1"/>
    <n v="0"/>
    <n v="0"/>
    <n v="0"/>
    <n v="0"/>
    <n v="0"/>
    <n v="0"/>
    <s v="Very Low"/>
  </r>
  <r>
    <n v="2019"/>
    <s v="Uttar Pradesh"/>
    <n v="9"/>
    <s v="Agra"/>
    <n v="118"/>
    <x v="2"/>
    <x v="0"/>
    <n v="109"/>
    <n v="1830"/>
    <n v="3528"/>
    <n v="16.788990825688074"/>
    <n v="1.9278688524590164"/>
    <n v="32.366972477064223"/>
    <s v="Low"/>
  </r>
  <r>
    <n v="2019"/>
    <s v="Uttar Pradesh"/>
    <n v="9"/>
    <s v="Mau"/>
    <n v="168"/>
    <x v="2"/>
    <x v="1"/>
    <n v="91"/>
    <n v="1752"/>
    <n v="3861"/>
    <n v="19.252747252747252"/>
    <n v="2.2037671232876712"/>
    <n v="42.428571428571431"/>
    <s v="Low"/>
  </r>
  <r>
    <n v="2019"/>
    <s v="Chhattisgarh"/>
    <n v="22"/>
    <s v="Bilaspur"/>
    <n v="375"/>
    <x v="2"/>
    <x v="1"/>
    <n v="0"/>
    <n v="0"/>
    <n v="0"/>
    <n v="0"/>
    <n v="0"/>
    <n v="0"/>
    <s v="Very Low"/>
  </r>
  <r>
    <n v="2019"/>
    <s v="Karnataka"/>
    <n v="29"/>
    <s v="Gadag"/>
    <n v="537"/>
    <x v="3"/>
    <x v="0"/>
    <n v="0"/>
    <n v="0"/>
    <n v="0"/>
    <n v="0"/>
    <n v="0"/>
    <n v="0"/>
    <s v="Very Low"/>
  </r>
  <r>
    <n v="2019"/>
    <s v="Maharashtra"/>
    <n v="27"/>
    <s v="Akola"/>
    <n v="467"/>
    <x v="4"/>
    <x v="0"/>
    <n v="48"/>
    <n v="739"/>
    <n v="1609"/>
    <n v="15.395833333333334"/>
    <n v="2.1772665764546684"/>
    <n v="33.520833333333336"/>
    <s v="Low"/>
  </r>
  <r>
    <n v="2019"/>
    <s v="West Bengal"/>
    <n v="19"/>
    <s v="Murshidabad"/>
    <n v="319"/>
    <x v="0"/>
    <x v="0"/>
    <n v="172"/>
    <n v="4521"/>
    <n v="8051"/>
    <n v="26.284883720930232"/>
    <n v="1.780800707808007"/>
    <n v="46.808139534883722"/>
    <s v="Low"/>
  </r>
  <r>
    <n v="2019"/>
    <s v="Chhattisgarh"/>
    <n v="22"/>
    <s v="Baloda Bazar"/>
    <n v="644"/>
    <x v="2"/>
    <x v="0"/>
    <n v="0"/>
    <n v="0"/>
    <n v="0"/>
    <n v="0"/>
    <n v="0"/>
    <n v="0"/>
    <s v="Very Low"/>
  </r>
  <r>
    <n v="2019"/>
    <s v="Maharashtra"/>
    <n v="27"/>
    <s v="Gadchiroli"/>
    <n v="475"/>
    <x v="4"/>
    <x v="0"/>
    <n v="32"/>
    <n v="480"/>
    <n v="2500"/>
    <n v="15"/>
    <n v="5.208333333333333"/>
    <n v="78.125"/>
    <s v="Low"/>
  </r>
  <r>
    <n v="2019"/>
    <s v="Himachal Pradesh"/>
    <n v="2"/>
    <s v="Chamba"/>
    <n v="16"/>
    <x v="5"/>
    <x v="1"/>
    <n v="71"/>
    <n v="574"/>
    <n v="2644"/>
    <n v="8.0845070422535219"/>
    <n v="4.6062717770034842"/>
    <n v="37.239436619718312"/>
    <s v="Low"/>
  </r>
  <r>
    <n v="2019"/>
    <s v="Chhattisgarh"/>
    <n v="22"/>
    <s v="Dhamtari"/>
    <n v="377"/>
    <x v="2"/>
    <x v="1"/>
    <n v="0"/>
    <n v="0"/>
    <n v="0"/>
    <n v="0"/>
    <n v="0"/>
    <n v="0"/>
    <s v="Very Low"/>
  </r>
  <r>
    <n v="2019"/>
    <s v="Telangana"/>
    <n v="36"/>
    <s v="Warangal Urban"/>
    <n v="686"/>
    <x v="3"/>
    <x v="2"/>
    <n v="166"/>
    <n v="2366"/>
    <n v="11491"/>
    <n v="14.253012048192771"/>
    <n v="4.8567202028740493"/>
    <n v="69.222891566265062"/>
    <s v="Low"/>
  </r>
  <r>
    <n v="2019"/>
    <s v="Jharkhand"/>
    <n v="20"/>
    <s v="Sahebganj"/>
    <n v="340"/>
    <x v="0"/>
    <x v="1"/>
    <n v="0"/>
    <n v="0"/>
    <n v="0"/>
    <n v="0"/>
    <n v="0"/>
    <n v="0"/>
    <s v="Very Low"/>
  </r>
  <r>
    <n v="2019"/>
    <s v="Punjab"/>
    <n v="3"/>
    <s v="Amritsar"/>
    <n v="27"/>
    <x v="5"/>
    <x v="3"/>
    <n v="0"/>
    <n v="0"/>
    <n v="0"/>
    <n v="0"/>
    <n v="0"/>
    <n v="0"/>
    <s v="Very Low"/>
  </r>
  <r>
    <n v="2019"/>
    <s v="Madhya Pradesh"/>
    <n v="23"/>
    <s v="Sehore"/>
    <n v="427"/>
    <x v="2"/>
    <x v="0"/>
    <n v="0"/>
    <n v="0"/>
    <n v="0"/>
    <n v="0"/>
    <n v="0"/>
    <n v="0"/>
    <s v="Very Low"/>
  </r>
  <r>
    <n v="2019"/>
    <s v="Himachal Pradesh"/>
    <n v="2"/>
    <s v="Kangra"/>
    <n v="18"/>
    <x v="5"/>
    <x v="1"/>
    <n v="262"/>
    <n v="2644"/>
    <n v="16721"/>
    <n v="10.091603053435115"/>
    <n v="6.3241301059001511"/>
    <n v="63.820610687022899"/>
    <s v="Low"/>
  </r>
  <r>
    <n v="2019"/>
    <s v="Haryana"/>
    <n v="6"/>
    <s v="Sonipat"/>
    <n v="75"/>
    <x v="5"/>
    <x v="0"/>
    <n v="0"/>
    <n v="0"/>
    <n v="0"/>
    <n v="0"/>
    <n v="0"/>
    <n v="0"/>
    <s v="Very Low"/>
  </r>
  <r>
    <n v="2019"/>
    <s v="Manipur"/>
    <n v="14"/>
    <s v="Thoubal"/>
    <n v="259"/>
    <x v="1"/>
    <x v="0"/>
    <n v="0"/>
    <n v="0"/>
    <n v="0"/>
    <n v="0"/>
    <n v="0"/>
    <n v="0"/>
    <s v="Very Low"/>
  </r>
  <r>
    <n v="2019"/>
    <s v="West Bengal"/>
    <n v="19"/>
    <s v="Alipurduar"/>
    <n v="664"/>
    <x v="0"/>
    <x v="1"/>
    <n v="42"/>
    <n v="1164"/>
    <n v="1422"/>
    <n v="27.714285714285715"/>
    <n v="1.2216494845360826"/>
    <n v="33.857142857142854"/>
    <s v="Low"/>
  </r>
  <r>
    <n v="2019"/>
    <s v="Maharashtra"/>
    <n v="27"/>
    <s v="Chandrapur"/>
    <n v="473"/>
    <x v="4"/>
    <x v="0"/>
    <n v="0"/>
    <n v="0"/>
    <n v="0"/>
    <n v="0"/>
    <n v="0"/>
    <n v="0"/>
    <s v="Very Low"/>
  </r>
  <r>
    <n v="2019"/>
    <s v="Gujarat"/>
    <n v="24"/>
    <s v="Narmada"/>
    <n v="452"/>
    <x v="4"/>
    <x v="0"/>
    <n v="0"/>
    <n v="0"/>
    <n v="0"/>
    <n v="0"/>
    <n v="0"/>
    <n v="0"/>
    <s v="Very Low"/>
  </r>
  <r>
    <n v="2019"/>
    <s v="Uttar Pradesh"/>
    <n v="9"/>
    <s v="Shamli"/>
    <n v="660"/>
    <x v="2"/>
    <x v="2"/>
    <n v="0"/>
    <n v="0"/>
    <n v="0"/>
    <n v="0"/>
    <n v="0"/>
    <n v="0"/>
    <s v="Very Low"/>
  </r>
  <r>
    <n v="2019"/>
    <s v="Madhya Pradesh"/>
    <n v="23"/>
    <s v="Gwalior"/>
    <n v="407"/>
    <x v="2"/>
    <x v="0"/>
    <n v="34"/>
    <n v="529"/>
    <n v="1142"/>
    <n v="15.558823529411764"/>
    <n v="2.1587901701323253"/>
    <n v="33.588235294117645"/>
    <s v="Low"/>
  </r>
  <r>
    <n v="2019"/>
    <s v="Maharashtra"/>
    <n v="27"/>
    <s v="Ahmednagar"/>
    <n v="466"/>
    <x v="4"/>
    <x v="0"/>
    <n v="169"/>
    <n v="2640"/>
    <n v="10085"/>
    <n v="15.621301775147929"/>
    <n v="3.8200757575757578"/>
    <n v="59.674556213017752"/>
    <s v="Low"/>
  </r>
  <r>
    <n v="2019"/>
    <s v="Odisha"/>
    <n v="21"/>
    <s v="Gajapati"/>
    <n v="353"/>
    <x v="0"/>
    <x v="1"/>
    <n v="34"/>
    <n v="505"/>
    <n v="1030"/>
    <n v="14.852941176470589"/>
    <n v="2.0396039603960396"/>
    <n v="30.294117647058822"/>
    <s v="Low"/>
  </r>
  <r>
    <n v="2019"/>
    <s v="Bihar"/>
    <n v="10"/>
    <s v="Sheikhpura"/>
    <n v="219"/>
    <x v="0"/>
    <x v="0"/>
    <n v="28"/>
    <n v="508"/>
    <n v="1260"/>
    <n v="18.142857142857142"/>
    <n v="2.4803149606299213"/>
    <n v="45"/>
    <s v="Low"/>
  </r>
  <r>
    <n v="2019"/>
    <s v="Assam"/>
    <n v="18"/>
    <s v="Golaghat"/>
    <n v="288"/>
    <x v="1"/>
    <x v="0"/>
    <n v="39"/>
    <n v="586"/>
    <n v="1881"/>
    <n v="15.025641025641026"/>
    <n v="3.2098976109215016"/>
    <n v="48.230769230769234"/>
    <s v="Low"/>
  </r>
  <r>
    <n v="2019"/>
    <s v="Haryana"/>
    <n v="6"/>
    <s v="Karnal"/>
    <n v="67"/>
    <x v="5"/>
    <x v="1"/>
    <n v="110"/>
    <n v="766"/>
    <n v="1776"/>
    <n v="6.9636363636363638"/>
    <n v="2.3185378590078329"/>
    <n v="16.145454545454545"/>
    <s v="Low"/>
  </r>
  <r>
    <n v="2019"/>
    <s v="Rajasthan"/>
    <n v="8"/>
    <s v="Pratapgarh"/>
    <n v="629"/>
    <x v="5"/>
    <x v="1"/>
    <n v="28"/>
    <n v="517"/>
    <n v="499"/>
    <n v="18.464285714285715"/>
    <n v="0.96518375241779497"/>
    <n v="17.821428571428573"/>
    <s v="Very Low"/>
  </r>
  <r>
    <n v="2019"/>
    <s v="Odisha"/>
    <n v="21"/>
    <s v="Rayagada"/>
    <n v="370"/>
    <x v="0"/>
    <x v="1"/>
    <n v="0"/>
    <n v="0"/>
    <n v="0"/>
    <n v="0"/>
    <n v="0"/>
    <n v="0"/>
    <s v="Very Low"/>
  </r>
  <r>
    <n v="2019"/>
    <s v="Manipur"/>
    <n v="14"/>
    <s v="Churachandpur"/>
    <n v="254"/>
    <x v="1"/>
    <x v="1"/>
    <n v="0"/>
    <n v="0"/>
    <n v="0"/>
    <n v="0"/>
    <n v="0"/>
    <n v="0"/>
    <s v="Very Low"/>
  </r>
  <r>
    <n v="2019"/>
    <s v="Maharashtra"/>
    <n v="27"/>
    <s v="Pune"/>
    <n v="490"/>
    <x v="4"/>
    <x v="1"/>
    <n v="269"/>
    <n v="2094"/>
    <n v="8898"/>
    <n v="7.7843866171003722"/>
    <n v="4.2492836676217767"/>
    <n v="33.078066914498145"/>
    <s v="Low"/>
  </r>
  <r>
    <n v="2019"/>
    <s v="Jharkhand"/>
    <n v="20"/>
    <s v="Hazaribagh"/>
    <n v="332"/>
    <x v="0"/>
    <x v="0"/>
    <n v="26"/>
    <n v="342"/>
    <n v="849"/>
    <n v="13.153846153846153"/>
    <n v="2.4824561403508771"/>
    <n v="32.653846153846153"/>
    <s v="Low"/>
  </r>
  <r>
    <n v="2019"/>
    <s v="Uttar Pradesh"/>
    <n v="9"/>
    <s v="Hamirpur"/>
    <n v="17"/>
    <x v="2"/>
    <x v="1"/>
    <n v="49"/>
    <n v="584"/>
    <n v="643"/>
    <n v="11.918367346938776"/>
    <n v="1.101027397260274"/>
    <n v="13.122448979591837"/>
    <s v="Low"/>
  </r>
  <r>
    <n v="2019"/>
    <s v="Bihar"/>
    <n v="10"/>
    <s v="Pashchim Champaran"/>
    <n v="211"/>
    <x v="0"/>
    <x v="1"/>
    <n v="0"/>
    <n v="0"/>
    <n v="0"/>
    <n v="0"/>
    <n v="0"/>
    <n v="0"/>
    <s v="Very Low"/>
  </r>
  <r>
    <n v="2019"/>
    <s v="Maharashtra"/>
    <n v="27"/>
    <s v="Satara"/>
    <n v="494"/>
    <x v="4"/>
    <x v="0"/>
    <n v="0"/>
    <n v="0"/>
    <n v="0"/>
    <n v="0"/>
    <n v="0"/>
    <n v="0"/>
    <s v="Very Low"/>
  </r>
  <r>
    <n v="2019"/>
    <s v="Karnataka"/>
    <n v="29"/>
    <s v="Dakshina Kannada"/>
    <n v="534"/>
    <x v="3"/>
    <x v="2"/>
    <n v="0"/>
    <n v="0"/>
    <n v="0"/>
    <n v="0"/>
    <n v="0"/>
    <n v="0"/>
    <s v="Very Low"/>
  </r>
  <r>
    <n v="2019"/>
    <s v="West Bengal"/>
    <n v="19"/>
    <s v="Hooghly"/>
    <n v="312"/>
    <x v="0"/>
    <x v="1"/>
    <n v="0"/>
    <n v="0"/>
    <n v="0"/>
    <n v="0"/>
    <n v="0"/>
    <n v="0"/>
    <s v="Very Low"/>
  </r>
  <r>
    <n v="2019"/>
    <s v="Gujarat"/>
    <n v="24"/>
    <s v="Anand"/>
    <n v="440"/>
    <x v="4"/>
    <x v="1"/>
    <n v="124"/>
    <n v="1171"/>
    <n v="4677"/>
    <n v="9.443548387096774"/>
    <n v="3.9940222032450898"/>
    <n v="37.717741935483872"/>
    <s v="Low"/>
  </r>
  <r>
    <n v="2019"/>
    <s v="Odisha"/>
    <n v="21"/>
    <s v="Balangir"/>
    <n v="345"/>
    <x v="0"/>
    <x v="1"/>
    <n v="0"/>
    <n v="0"/>
    <n v="0"/>
    <n v="0"/>
    <n v="0"/>
    <n v="0"/>
    <s v="Very Low"/>
  </r>
  <r>
    <n v="2019"/>
    <s v="Uttar Pradesh"/>
    <n v="9"/>
    <s v="Unnao"/>
    <n v="186"/>
    <x v="2"/>
    <x v="1"/>
    <n v="0"/>
    <n v="0"/>
    <n v="0"/>
    <n v="0"/>
    <n v="0"/>
    <n v="0"/>
    <s v="Very Low"/>
  </r>
  <r>
    <n v="2019"/>
    <s v="Madhya Pradesh"/>
    <n v="23"/>
    <s v="Panna"/>
    <n v="420"/>
    <x v="2"/>
    <x v="1"/>
    <n v="0"/>
    <n v="0"/>
    <n v="0"/>
    <n v="0"/>
    <n v="0"/>
    <n v="0"/>
    <s v="Very Low"/>
  </r>
  <r>
    <n v="2019"/>
    <s v="Gujarat"/>
    <n v="24"/>
    <s v="Vadodara"/>
    <n v="461"/>
    <x v="4"/>
    <x v="3"/>
    <n v="487"/>
    <n v="5836"/>
    <n v="74753"/>
    <n v="11.983572895277208"/>
    <n v="12.808944482522275"/>
    <n v="153.49691991786449"/>
    <s v="High"/>
  </r>
  <r>
    <n v="2019"/>
    <s v="Uttar Pradesh"/>
    <n v="9"/>
    <s v="Muzaffarnagar"/>
    <n v="172"/>
    <x v="2"/>
    <x v="2"/>
    <n v="0"/>
    <n v="0"/>
    <n v="0"/>
    <n v="0"/>
    <n v="0"/>
    <n v="0"/>
    <s v="Very Low"/>
  </r>
  <r>
    <n v="2019"/>
    <s v="Haryana"/>
    <n v="6"/>
    <s v="Jhajjar"/>
    <n v="64"/>
    <x v="5"/>
    <x v="1"/>
    <n v="0"/>
    <n v="0"/>
    <n v="0"/>
    <n v="0"/>
    <n v="0"/>
    <n v="0"/>
    <s v="Very Low"/>
  </r>
  <r>
    <n v="2019"/>
    <s v="Tamil Nadu"/>
    <n v="33"/>
    <s v="Thiruvallur"/>
    <n v="589"/>
    <x v="3"/>
    <x v="0"/>
    <n v="198"/>
    <n v="2450"/>
    <n v="10179"/>
    <n v="12.373737373737374"/>
    <n v="4.1546938775510203"/>
    <n v="51.409090909090907"/>
    <s v="Low"/>
  </r>
  <r>
    <n v="2019"/>
    <s v="Uttar Pradesh"/>
    <n v="9"/>
    <s v="Gonda"/>
    <n v="147"/>
    <x v="2"/>
    <x v="2"/>
    <n v="43"/>
    <n v="540"/>
    <n v="2741"/>
    <n v="12.55813953488372"/>
    <n v="5.075925925925926"/>
    <n v="63.744186046511629"/>
    <s v="Low"/>
  </r>
  <r>
    <n v="2019"/>
    <s v="Assam"/>
    <n v="18"/>
    <s v="Sonitpur"/>
    <n v="301"/>
    <x v="1"/>
    <x v="0"/>
    <n v="55"/>
    <n v="932"/>
    <n v="3571"/>
    <n v="16.945454545454545"/>
    <n v="3.8315450643776825"/>
    <n v="64.927272727272722"/>
    <s v="Low"/>
  </r>
  <r>
    <n v="2019"/>
    <s v="Mizoram"/>
    <n v="15"/>
    <s v="Lawngtlai"/>
    <n v="264"/>
    <x v="1"/>
    <x v="1"/>
    <n v="5"/>
    <n v="67"/>
    <n v="97"/>
    <n v="13.4"/>
    <n v="1.4477611940298507"/>
    <n v="19.399999999999999"/>
    <s v="Low"/>
  </r>
  <r>
    <n v="2019"/>
    <s v="Tamil Nadu"/>
    <n v="33"/>
    <s v="Namakkal"/>
    <n v="580"/>
    <x v="3"/>
    <x v="0"/>
    <n v="0"/>
    <n v="0"/>
    <n v="0"/>
    <n v="0"/>
    <n v="0"/>
    <n v="0"/>
    <s v="Very Low"/>
  </r>
  <r>
    <n v="2019"/>
    <s v="Bihar"/>
    <n v="10"/>
    <s v="Bhojpur"/>
    <n v="193"/>
    <x v="0"/>
    <x v="0"/>
    <n v="0"/>
    <n v="0"/>
    <n v="0"/>
    <n v="0"/>
    <n v="0"/>
    <n v="0"/>
    <s v="Very Low"/>
  </r>
  <r>
    <n v="2019"/>
    <s v="Haryana"/>
    <n v="6"/>
    <s v="Jhajjar"/>
    <n v="64"/>
    <x v="5"/>
    <x v="0"/>
    <n v="0"/>
    <n v="0"/>
    <n v="0"/>
    <n v="0"/>
    <n v="0"/>
    <n v="0"/>
    <s v="Very Low"/>
  </r>
  <r>
    <n v="2019"/>
    <s v="Bihar"/>
    <n v="10"/>
    <s v="Pashchim Champaran"/>
    <n v="211"/>
    <x v="0"/>
    <x v="0"/>
    <n v="0"/>
    <n v="0"/>
    <n v="0"/>
    <n v="0"/>
    <n v="0"/>
    <n v="0"/>
    <s v="Very Low"/>
  </r>
  <r>
    <n v="2019"/>
    <s v="Uttar Pradesh"/>
    <n v="9"/>
    <s v="Amroha"/>
    <n v="154"/>
    <x v="2"/>
    <x v="1"/>
    <n v="0"/>
    <n v="0"/>
    <n v="0"/>
    <n v="0"/>
    <n v="0"/>
    <n v="0"/>
    <s v="Very Low"/>
  </r>
  <r>
    <n v="2019"/>
    <s v="Delhi"/>
    <n v="7"/>
    <s v="New Delhi"/>
    <n v="79"/>
    <x v="5"/>
    <x v="1"/>
    <n v="11"/>
    <n v="103"/>
    <n v="605"/>
    <n v="9.3636363636363633"/>
    <n v="5.8737864077669899"/>
    <n v="55"/>
    <s v="Low"/>
  </r>
  <r>
    <n v="2019"/>
    <s v="Madhya Pradesh"/>
    <n v="23"/>
    <s v="Sagar"/>
    <n v="425"/>
    <x v="2"/>
    <x v="0"/>
    <n v="0"/>
    <n v="0"/>
    <n v="0"/>
    <n v="0"/>
    <n v="0"/>
    <n v="0"/>
    <s v="Very Low"/>
  </r>
  <r>
    <n v="2019"/>
    <s v="Karnataka"/>
    <n v="29"/>
    <s v="Ballari"/>
    <n v="528"/>
    <x v="3"/>
    <x v="1"/>
    <n v="0"/>
    <n v="0"/>
    <n v="0"/>
    <n v="0"/>
    <n v="0"/>
    <n v="0"/>
    <s v="Very Low"/>
  </r>
  <r>
    <n v="2019"/>
    <s v="Maharashtra"/>
    <n v="27"/>
    <s v="Aurangabad"/>
    <n v="189"/>
    <x v="4"/>
    <x v="1"/>
    <n v="85"/>
    <n v="1289"/>
    <n v="2472"/>
    <n v="15.164705882352941"/>
    <n v="1.9177657098525989"/>
    <n v="29.08235294117647"/>
    <s v="Low"/>
  </r>
  <r>
    <n v="2019"/>
    <s v="Bihar"/>
    <n v="10"/>
    <s v="Bhagalpur"/>
    <n v="192"/>
    <x v="0"/>
    <x v="1"/>
    <n v="86"/>
    <n v="1400"/>
    <n v="2219"/>
    <n v="16.279069767441861"/>
    <n v="1.585"/>
    <n v="25.802325581395348"/>
    <s v="Low"/>
  </r>
  <r>
    <n v="2019"/>
    <s v="Rajasthan"/>
    <n v="8"/>
    <s v="Kota"/>
    <n v="109"/>
    <x v="5"/>
    <x v="3"/>
    <n v="165"/>
    <n v="1932"/>
    <n v="15546"/>
    <n v="11.709090909090909"/>
    <n v="8.0465838509316772"/>
    <n v="94.218181818181819"/>
    <s v="Medium"/>
  </r>
  <r>
    <n v="2019"/>
    <s v="Puducherry"/>
    <n v="34"/>
    <s v="Pondicherry"/>
    <n v="600"/>
    <x v="3"/>
    <x v="2"/>
    <n v="0"/>
    <n v="0"/>
    <n v="0"/>
    <n v="0"/>
    <n v="0"/>
    <n v="0"/>
    <s v="Very Low"/>
  </r>
  <r>
    <n v="2019"/>
    <s v="Andhra Pradesh"/>
    <n v="28"/>
    <s v="Y.S.R."/>
    <n v="504"/>
    <x v="3"/>
    <x v="0"/>
    <n v="0"/>
    <n v="0"/>
    <n v="0"/>
    <n v="0"/>
    <n v="0"/>
    <n v="0"/>
    <s v="Very Low"/>
  </r>
  <r>
    <n v="2019"/>
    <s v="Andhra Pradesh"/>
    <n v="28"/>
    <s v="Y.S.R."/>
    <n v="504"/>
    <x v="3"/>
    <x v="0"/>
    <n v="110"/>
    <n v="1607"/>
    <n v="4036"/>
    <n v="14.609090909090909"/>
    <n v="2.5115121344119475"/>
    <n v="36.690909090909088"/>
    <s v="Low"/>
  </r>
  <r>
    <n v="2019"/>
    <s v="Karnataka"/>
    <n v="29"/>
    <s v="Bidar"/>
    <n v="529"/>
    <x v="3"/>
    <x v="1"/>
    <n v="0"/>
    <n v="0"/>
    <n v="0"/>
    <n v="0"/>
    <n v="0"/>
    <n v="0"/>
    <s v="Very Low"/>
  </r>
  <r>
    <n v="2019"/>
    <s v="Maharashtra"/>
    <n v="27"/>
    <s v="Nagpur"/>
    <n v="484"/>
    <x v="4"/>
    <x v="3"/>
    <n v="0"/>
    <n v="0"/>
    <n v="0"/>
    <n v="0"/>
    <n v="0"/>
    <n v="0"/>
    <s v="Very Low"/>
  </r>
  <r>
    <n v="2019"/>
    <s v="Uttar Pradesh"/>
    <n v="9"/>
    <s v="Meerut"/>
    <n v="169"/>
    <x v="2"/>
    <x v="1"/>
    <n v="115"/>
    <n v="1311"/>
    <n v="2983"/>
    <n v="11.4"/>
    <n v="2.2753623188405796"/>
    <n v="25.939130434782609"/>
    <s v="Low"/>
  </r>
  <r>
    <n v="2019"/>
    <s v="Maharashtra"/>
    <n v="27"/>
    <s v="Osmanabad"/>
    <n v="488"/>
    <x v="4"/>
    <x v="0"/>
    <n v="0"/>
    <n v="0"/>
    <n v="0"/>
    <n v="0"/>
    <n v="0"/>
    <n v="0"/>
    <s v="Very Low"/>
  </r>
  <r>
    <n v="2019"/>
    <s v="West Bengal"/>
    <n v="19"/>
    <s v="Nadia"/>
    <n v="320"/>
    <x v="0"/>
    <x v="2"/>
    <n v="0"/>
    <n v="0"/>
    <n v="0"/>
    <n v="0"/>
    <n v="0"/>
    <n v="0"/>
    <s v="Very Low"/>
  </r>
  <r>
    <n v="2019"/>
    <s v="Andhra Pradesh"/>
    <n v="28"/>
    <s v="Y.S.R."/>
    <n v="504"/>
    <x v="3"/>
    <x v="2"/>
    <n v="117"/>
    <n v="1556"/>
    <n v="6762"/>
    <n v="13.2991452991453"/>
    <n v="4.3457583547557839"/>
    <n v="57.794871794871796"/>
    <s v="Low"/>
  </r>
  <r>
    <n v="2019"/>
    <s v="West Bengal"/>
    <n v="19"/>
    <s v="Jalpaiguri"/>
    <n v="314"/>
    <x v="0"/>
    <x v="0"/>
    <n v="0"/>
    <n v="0"/>
    <n v="0"/>
    <n v="0"/>
    <n v="0"/>
    <n v="0"/>
    <s v="Very Low"/>
  </r>
  <r>
    <n v="2019"/>
    <s v="Chhattisgarh"/>
    <n v="22"/>
    <s v="Dantewada"/>
    <n v="376"/>
    <x v="2"/>
    <x v="1"/>
    <n v="21"/>
    <n v="159"/>
    <n v="304"/>
    <n v="7.5714285714285712"/>
    <n v="1.9119496855345912"/>
    <n v="14.476190476190476"/>
    <s v="Low"/>
  </r>
  <r>
    <n v="2019"/>
    <s v="Karnataka"/>
    <n v="29"/>
    <s v="Yadgir"/>
    <n v="635"/>
    <x v="3"/>
    <x v="0"/>
    <n v="0"/>
    <n v="0"/>
    <n v="0"/>
    <n v="0"/>
    <n v="0"/>
    <n v="0"/>
    <s v="Very Low"/>
  </r>
  <r>
    <n v="2019"/>
    <s v="Chhattisgarh"/>
    <n v="22"/>
    <s v="Janjgir-Champa"/>
    <n v="379"/>
    <x v="2"/>
    <x v="0"/>
    <n v="55"/>
    <n v="915"/>
    <n v="3009"/>
    <n v="16.636363636363637"/>
    <n v="3.2885245901639344"/>
    <n v="54.709090909090911"/>
    <s v="Low"/>
  </r>
  <r>
    <n v="2019"/>
    <s v="Odisha"/>
    <n v="21"/>
    <s v="Sonepur"/>
    <n v="372"/>
    <x v="0"/>
    <x v="1"/>
    <n v="0"/>
    <n v="0"/>
    <n v="0"/>
    <n v="0"/>
    <n v="0"/>
    <n v="0"/>
    <s v="Very Low"/>
  </r>
  <r>
    <n v="2019"/>
    <s v="Andaman and Nicobar Islands"/>
    <n v="35"/>
    <s v="South Andamans"/>
    <n v="602"/>
    <x v="0"/>
    <x v="2"/>
    <n v="34"/>
    <n v="310"/>
    <n v="3582"/>
    <n v="9.117647058823529"/>
    <n v="11.554838709677419"/>
    <n v="105.35294117647059"/>
    <s v="Medium"/>
  </r>
  <r>
    <n v="2019"/>
    <s v="Punjab"/>
    <n v="3"/>
    <s v="Kapurthala"/>
    <n v="35"/>
    <x v="5"/>
    <x v="1"/>
    <n v="128"/>
    <n v="791"/>
    <n v="4974"/>
    <n v="6.1796875"/>
    <n v="6.288242730720607"/>
    <n v="38.859375"/>
    <s v="Low"/>
  </r>
  <r>
    <n v="2019"/>
    <s v="Maharashtra"/>
    <n v="27"/>
    <s v="Jalgaon"/>
    <n v="478"/>
    <x v="4"/>
    <x v="1"/>
    <n v="0"/>
    <n v="0"/>
    <n v="0"/>
    <n v="0"/>
    <n v="0"/>
    <n v="0"/>
    <s v="Very Low"/>
  </r>
  <r>
    <n v="2019"/>
    <s v="Mizoram"/>
    <n v="15"/>
    <s v="Kolasib"/>
    <n v="263"/>
    <x v="1"/>
    <x v="1"/>
    <n v="4"/>
    <n v="28"/>
    <n v="73"/>
    <n v="7"/>
    <n v="2.6071428571428572"/>
    <n v="18.25"/>
    <s v="Low"/>
  </r>
  <r>
    <n v="2019"/>
    <s v="Haryana"/>
    <n v="6"/>
    <s v="Panchkula"/>
    <n v="70"/>
    <x v="5"/>
    <x v="0"/>
    <n v="0"/>
    <n v="0"/>
    <n v="0"/>
    <n v="0"/>
    <n v="0"/>
    <n v="0"/>
    <s v="Very Low"/>
  </r>
  <r>
    <n v="2019"/>
    <s v="Uttarakhand"/>
    <n v="5"/>
    <s v="Udam Singh Nagar"/>
    <n v="56"/>
    <x v="2"/>
    <x v="1"/>
    <n v="0"/>
    <n v="0"/>
    <n v="0"/>
    <n v="0"/>
    <n v="0"/>
    <n v="0"/>
    <s v="Very Low"/>
  </r>
  <r>
    <n v="2019"/>
    <s v="Haryana"/>
    <n v="6"/>
    <s v="Jind"/>
    <n v="65"/>
    <x v="5"/>
    <x v="0"/>
    <n v="64"/>
    <n v="784"/>
    <n v="2400"/>
    <n v="12.25"/>
    <n v="3.0612244897959182"/>
    <n v="37.5"/>
    <s v="Low"/>
  </r>
  <r>
    <n v="2019"/>
    <s v="West Bengal"/>
    <n v="19"/>
    <s v="Maldah"/>
    <n v="316"/>
    <x v="0"/>
    <x v="1"/>
    <n v="0"/>
    <n v="0"/>
    <n v="0"/>
    <n v="0"/>
    <n v="0"/>
    <n v="0"/>
    <s v="Very Low"/>
  </r>
  <r>
    <n v="2019"/>
    <s v="Gujarat"/>
    <n v="24"/>
    <s v="Botad"/>
    <n v="676"/>
    <x v="4"/>
    <x v="1"/>
    <n v="20"/>
    <n v="157"/>
    <n v="252"/>
    <n v="7.85"/>
    <n v="1.605095541401274"/>
    <n v="12.6"/>
    <s v="Low"/>
  </r>
  <r>
    <n v="2019"/>
    <s v="Chhattisgarh"/>
    <n v="22"/>
    <s v="Mungeli"/>
    <n v="647"/>
    <x v="2"/>
    <x v="1"/>
    <n v="18"/>
    <n v="446"/>
    <n v="386"/>
    <n v="24.777777777777779"/>
    <n v="0.86547085201793716"/>
    <n v="21.444444444444443"/>
    <s v="Very Low"/>
  </r>
  <r>
    <n v="2019"/>
    <s v="Uttar Pradesh"/>
    <n v="9"/>
    <s v="Barabanki"/>
    <n v="129"/>
    <x v="2"/>
    <x v="1"/>
    <n v="153"/>
    <n v="2449"/>
    <n v="3332"/>
    <n v="16.006535947712418"/>
    <n v="1.360555328705594"/>
    <n v="21.777777777777779"/>
    <s v="Low"/>
  </r>
  <r>
    <n v="2019"/>
    <s v="Uttar Pradesh"/>
    <n v="9"/>
    <s v="Shamli"/>
    <n v="660"/>
    <x v="2"/>
    <x v="1"/>
    <n v="32"/>
    <n v="294"/>
    <n v="561"/>
    <n v="9.1875"/>
    <n v="1.9081632653061225"/>
    <n v="17.53125"/>
    <s v="Low"/>
  </r>
  <r>
    <n v="2019"/>
    <s v="Madhya Pradesh"/>
    <n v="23"/>
    <s v="Hoshangabad"/>
    <n v="409"/>
    <x v="2"/>
    <x v="1"/>
    <n v="67"/>
    <n v="573"/>
    <n v="805"/>
    <n v="8.5522388059701484"/>
    <n v="1.4048865619546247"/>
    <n v="12.014925373134329"/>
    <s v="Low"/>
  </r>
  <r>
    <n v="2019"/>
    <s v="Karnataka"/>
    <n v="29"/>
    <s v="Ballari"/>
    <n v="528"/>
    <x v="3"/>
    <x v="0"/>
    <n v="84"/>
    <n v="1516"/>
    <n v="3590"/>
    <n v="18.047619047619047"/>
    <n v="2.3680738786279685"/>
    <n v="42.738095238095241"/>
    <s v="Low"/>
  </r>
  <r>
    <n v="2019"/>
    <s v="Uttar Pradesh"/>
    <n v="9"/>
    <s v="Sambhal"/>
    <n v="659"/>
    <x v="2"/>
    <x v="1"/>
    <n v="95"/>
    <n v="1257"/>
    <n v="1390"/>
    <n v="13.231578947368421"/>
    <n v="1.105807478122514"/>
    <n v="14.631578947368421"/>
    <s v="Low"/>
  </r>
  <r>
    <n v="2019"/>
    <s v="Gujarat"/>
    <n v="24"/>
    <s v="Dang"/>
    <n v="444"/>
    <x v="4"/>
    <x v="0"/>
    <n v="7"/>
    <n v="179"/>
    <n v="450"/>
    <n v="25.571428571428573"/>
    <n v="2.5139664804469275"/>
    <n v="64.285714285714292"/>
    <s v="Low"/>
  </r>
  <r>
    <n v="2019"/>
    <s v="Uttarakhand"/>
    <n v="5"/>
    <s v="Pithoragarh"/>
    <n v="53"/>
    <x v="2"/>
    <x v="0"/>
    <n v="24"/>
    <n v="234"/>
    <n v="1485"/>
    <n v="9.75"/>
    <n v="6.3461538461538458"/>
    <n v="61.875"/>
    <s v="Low"/>
  </r>
  <r>
    <n v="2019"/>
    <s v="Maharashtra"/>
    <n v="27"/>
    <s v="Gadchiroli"/>
    <n v="475"/>
    <x v="4"/>
    <x v="1"/>
    <n v="0"/>
    <n v="0"/>
    <n v="0"/>
    <n v="0"/>
    <n v="0"/>
    <n v="0"/>
    <s v="Very Low"/>
  </r>
  <r>
    <n v="2019"/>
    <s v="Uttar Pradesh"/>
    <n v="9"/>
    <s v="Mahoba"/>
    <n v="165"/>
    <x v="2"/>
    <x v="0"/>
    <n v="38"/>
    <n v="706"/>
    <n v="2364"/>
    <n v="18.578947368421051"/>
    <n v="3.3484419263456089"/>
    <n v="62.210526315789473"/>
    <s v="Low"/>
  </r>
  <r>
    <n v="2019"/>
    <s v="Rajasthan"/>
    <n v="8"/>
    <s v="Churu"/>
    <n v="96"/>
    <x v="5"/>
    <x v="2"/>
    <n v="0"/>
    <n v="0"/>
    <n v="0"/>
    <n v="0"/>
    <n v="0"/>
    <n v="0"/>
    <s v="Very Low"/>
  </r>
  <r>
    <n v="2019"/>
    <s v="Bihar"/>
    <n v="10"/>
    <s v="Katihar"/>
    <n v="201"/>
    <x v="0"/>
    <x v="2"/>
    <n v="0"/>
    <n v="0"/>
    <n v="0"/>
    <n v="0"/>
    <n v="0"/>
    <n v="0"/>
    <s v="Very Low"/>
  </r>
  <r>
    <n v="2019"/>
    <s v="Uttar Pradesh"/>
    <n v="9"/>
    <s v="Mainpuri"/>
    <n v="166"/>
    <x v="2"/>
    <x v="1"/>
    <n v="51"/>
    <n v="829"/>
    <n v="917"/>
    <n v="16.254901960784313"/>
    <n v="1.1061519903498191"/>
    <n v="17.980392156862745"/>
    <s v="Low"/>
  </r>
  <r>
    <n v="2019"/>
    <s v="Chandigarh"/>
    <n v="4"/>
    <s v="Chandigarh"/>
    <n v="44"/>
    <x v="5"/>
    <x v="1"/>
    <n v="11"/>
    <n v="109"/>
    <n v="545"/>
    <n v="9.9090909090909083"/>
    <n v="5"/>
    <n v="49.545454545454547"/>
    <s v="Low"/>
  </r>
  <r>
    <n v="2019"/>
    <s v="Bihar"/>
    <n v="10"/>
    <s v="Rohtas"/>
    <n v="215"/>
    <x v="0"/>
    <x v="1"/>
    <n v="0"/>
    <n v="0"/>
    <n v="0"/>
    <n v="0"/>
    <n v="0"/>
    <n v="0"/>
    <s v="Very Low"/>
  </r>
  <r>
    <n v="2019"/>
    <s v="Chhattisgarh"/>
    <n v="22"/>
    <s v="Kanker"/>
    <n v="381"/>
    <x v="2"/>
    <x v="0"/>
    <n v="29"/>
    <n v="523"/>
    <n v="1074"/>
    <n v="18.03448275862069"/>
    <n v="2.0535372848948374"/>
    <n v="37.03448275862069"/>
    <s v="Low"/>
  </r>
  <r>
    <n v="2019"/>
    <s v="West Bengal"/>
    <n v="19"/>
    <s v="Birbhum"/>
    <n v="307"/>
    <x v="0"/>
    <x v="0"/>
    <n v="0"/>
    <n v="0"/>
    <n v="0"/>
    <n v="0"/>
    <n v="0"/>
    <n v="0"/>
    <s v="Very Low"/>
  </r>
  <r>
    <n v="2019"/>
    <s v="Uttar Pradesh"/>
    <n v="9"/>
    <s v="Lucknow"/>
    <n v="162"/>
    <x v="2"/>
    <x v="3"/>
    <n v="791"/>
    <n v="8702"/>
    <n v="136218"/>
    <n v="11.00126422250316"/>
    <n v="15.65364284072627"/>
    <n v="172.20986093552466"/>
    <s v="High"/>
  </r>
  <r>
    <n v="2019"/>
    <s v="Madhya Pradesh"/>
    <n v="23"/>
    <s v="Katni"/>
    <n v="413"/>
    <x v="2"/>
    <x v="1"/>
    <n v="49"/>
    <n v="1058"/>
    <n v="1744"/>
    <n v="21.591836734693878"/>
    <n v="1.6483931947069943"/>
    <n v="35.591836734693878"/>
    <s v="Low"/>
  </r>
  <r>
    <n v="2019"/>
    <s v="West Bengal"/>
    <n v="19"/>
    <s v="Hooghly"/>
    <n v="312"/>
    <x v="0"/>
    <x v="2"/>
    <n v="159"/>
    <n v="2824"/>
    <n v="20506"/>
    <n v="17.761006289308177"/>
    <n v="7.2613314447592066"/>
    <n v="128.96855345911951"/>
    <s v="Medium"/>
  </r>
  <r>
    <n v="2019"/>
    <s v="Telangana"/>
    <n v="36"/>
    <s v="Rajanna Sircilla"/>
    <n v="683"/>
    <x v="3"/>
    <x v="0"/>
    <n v="22"/>
    <n v="404"/>
    <n v="1416"/>
    <n v="18.363636363636363"/>
    <n v="3.504950495049505"/>
    <n v="64.36363636363636"/>
    <s v="Low"/>
  </r>
  <r>
    <n v="2019"/>
    <s v="Jharkhand"/>
    <n v="20"/>
    <s v="Hazaribagh"/>
    <n v="332"/>
    <x v="0"/>
    <x v="1"/>
    <n v="0"/>
    <n v="0"/>
    <n v="0"/>
    <n v="0"/>
    <n v="0"/>
    <n v="0"/>
    <s v="Very Low"/>
  </r>
  <r>
    <n v="2019"/>
    <s v="West Bengal"/>
    <n v="19"/>
    <s v="Medinipur East"/>
    <n v="317"/>
    <x v="0"/>
    <x v="1"/>
    <n v="225"/>
    <n v="4595"/>
    <n v="8807"/>
    <n v="20.422222222222221"/>
    <n v="1.9166485310119696"/>
    <n v="39.142222222222223"/>
    <s v="Low"/>
  </r>
  <r>
    <n v="2019"/>
    <s v="Madhya Pradesh"/>
    <n v="23"/>
    <s v="Ujjain"/>
    <n v="435"/>
    <x v="2"/>
    <x v="0"/>
    <n v="0"/>
    <n v="0"/>
    <n v="0"/>
    <n v="0"/>
    <n v="0"/>
    <n v="0"/>
    <s v="Very Low"/>
  </r>
  <r>
    <n v="2019"/>
    <s v="Uttar Pradesh"/>
    <n v="9"/>
    <s v="Sultanpur"/>
    <n v="185"/>
    <x v="2"/>
    <x v="2"/>
    <n v="37"/>
    <n v="520"/>
    <n v="3206"/>
    <n v="14.054054054054054"/>
    <n v="6.1653846153846157"/>
    <n v="86.648648648648646"/>
    <s v="Low"/>
  </r>
  <r>
    <n v="2019"/>
    <s v="Tamil Nadu"/>
    <n v="33"/>
    <s v="Krishnagiri"/>
    <n v="577"/>
    <x v="3"/>
    <x v="1"/>
    <n v="0"/>
    <n v="0"/>
    <n v="0"/>
    <n v="0"/>
    <n v="0"/>
    <n v="0"/>
    <s v="Very 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50847-031A-47B4-88B9-3F826931BCB6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H16:I23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5"/>
        <item x="3"/>
        <item x="4"/>
        <item t="default"/>
      </items>
    </pivotField>
    <pivotField showAll="0"/>
    <pivotField dataField="1" numFmtId="2" showAll="0"/>
    <pivotField numFmtId="2" showAll="0"/>
    <pivotField numFmtId="164" showAll="0"/>
    <pivotField numFmtId="2" showAll="0"/>
    <pivotField numFmtId="2" showAll="0"/>
    <pivotField numFmtId="2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umber of SCB Offices 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0ECAB-3E9B-4090-B0E4-2D4690EBB1D6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pulation group">
  <location ref="H6:I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2" showAll="0"/>
    <pivotField numFmtId="2" showAll="0"/>
    <pivotField dataField="1" numFmtId="164" showAll="0"/>
    <pivotField numFmtId="2" showAll="0"/>
    <pivotField numFmtId="2" showAll="0"/>
    <pivotField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mount deposited" fld="9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6F583-3235-4B19-A90A-EB407353C376}" name="PivotTable2" cacheId="18" applyNumberFormats="0" applyBorderFormats="0" applyFontFormats="0" applyPatternFormats="0" applyAlignmentFormats="0" applyWidthHeightFormats="1" dataCaption="Values" tag="582c8292-e096-4b65-b433-df870a3cfd4e" updatedVersion="8" minRefreshableVersion="3" useAutoFormatting="1" itemPrintTitles="1" createdVersion="8" indent="0" outline="1" outlineData="1" multipleFieldFilters="0" rowHeaderCaption="District name">
  <location ref="E6:F356" firstHeaderRow="1" firstDataRow="1" firstDataCol="1"/>
  <pivotFields count="2">
    <pivotField axis="axisRow" allDrilled="1" subtotalTop="0" showAll="0" dataSourceSort="1" defaultSubtotal="0" defaultAttributeDrillState="1">
      <items count="3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</items>
    </pivotField>
    <pivotField dataField="1" subtotalTop="0" showAll="0" defaultSubtotal="0"/>
  </pivotFields>
  <rowFields count="1">
    <field x="0"/>
  </rowFields>
  <rowItems count="3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 t="grand">
      <x/>
    </i>
  </rowItems>
  <colItems count="1">
    <i/>
  </colItems>
  <dataFields count="1">
    <dataField name="Sum of Number of Accounts with SCBs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_DIM]"/>
        <x15:activeTabTopLevelEntity name="[Population_group__Wise_Deposits_Sample_Data_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D1242-E8B4-4DD1-8693-9DDE90B8FE66}" name="PivotTable1" cacheId="15" applyNumberFormats="0" applyBorderFormats="0" applyFontFormats="0" applyPatternFormats="0" applyAlignmentFormats="0" applyWidthHeightFormats="1" dataCaption="Values" tag="16605846-4246-4629-b4c5-7f0ebb827879" updatedVersion="8" minRefreshableVersion="3" useAutoFormatting="1" itemPrintTitles="1" createdVersion="8" indent="0" outline="1" outlineData="1" multipleFieldFilters="0" rowHeaderCaption="State name">
  <location ref="B6:C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Number of SCB Offices" fld="0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pulation_group__Wise_Deposits_Sample_Data__1]"/>
        <x15:activeTabTopLevelEntity name="[Stat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CFDFB2-9D9A-4884-8252-C53A74CE205D}" autoFormatId="16" applyNumberFormats="0" applyBorderFormats="0" applyFontFormats="0" applyPatternFormats="0" applyAlignmentFormats="0" applyWidthHeightFormats="0">
  <queryTableRefresh nextId="19" unboundColumnsRight="4">
    <queryTableFields count="14">
      <queryTableField id="1" name="Year (year)" tableColumnId="1"/>
      <queryTableField id="2" name="State Name (state_name)" tableColumnId="2"/>
      <queryTableField id="3" name="State Code (state_code)" tableColumnId="3"/>
      <queryTableField id="4" name="District Name (district_name)" tableColumnId="4"/>
      <queryTableField id="5" name="District Code (district_code)" tableColumnId="5"/>
      <queryTableField id="6" name="Region (region)" tableColumnId="6"/>
      <queryTableField id="7" name="Population Group (population_group)" tableColumnId="7"/>
      <queryTableField id="8" name="Number of SCB Offices (no_of_offices)" tableColumnId="8"/>
      <queryTableField id="9" name="Number of Accounts with SCBs (no_of_accounts)" tableColumnId="9"/>
      <queryTableField id="10" name="Amount deposited (deposit_amount)" tableColumnId="10"/>
      <queryTableField id="12" dataBound="0" tableColumnId="12"/>
      <queryTableField id="13" dataBound="0" tableColumnId="13"/>
      <queryTableField id="14" dataBound="0" tableColumnId="14"/>
      <queryTableField id="18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421D6-0995-47C2-85E2-26B721CFF0F4}" name="Population_group__Wise_Deposits_Sample_Data__1" displayName="Population_group__Wise_Deposits_Sample_Data__1" ref="A1:N501" tableType="queryTable" totalsRowShown="0">
  <autoFilter ref="A1:N501" xr:uid="{B6C421D6-0995-47C2-85E2-26B721CFF0F4}"/>
  <sortState xmlns:xlrd2="http://schemas.microsoft.com/office/spreadsheetml/2017/richdata2" ref="A2:N501">
    <sortCondition descending="1" ref="A1:A501"/>
  </sortState>
  <tableColumns count="14">
    <tableColumn id="1" xr3:uid="{CD75E2D0-9896-4D76-A330-E6748FDD6E9F}" uniqueName="1" name="Year " queryTableFieldId="1"/>
    <tableColumn id="2" xr3:uid="{AA8DC63B-A4B5-449D-B186-283AAE8B2DDF}" uniqueName="2" name="State Name " queryTableFieldId="2" dataDxfId="1"/>
    <tableColumn id="3" xr3:uid="{3ABF52CD-9C2A-44AA-81A6-0CCC101F3A88}" uniqueName="3" name="State Code " queryTableFieldId="3"/>
    <tableColumn id="4" xr3:uid="{BB2576E5-52D1-4075-B9E0-E06241AFB71C}" uniqueName="4" name="District Name " queryTableFieldId="4" dataDxfId="0"/>
    <tableColumn id="5" xr3:uid="{EBD456D4-93E2-4200-ACE6-2B58307F6180}" uniqueName="5" name="District Code " queryTableFieldId="5"/>
    <tableColumn id="6" xr3:uid="{B55EC8C9-7E58-4DD1-B796-6B54EC127A47}" uniqueName="6" name="Region " queryTableFieldId="6" dataDxfId="22"/>
    <tableColumn id="7" xr3:uid="{ADD8545E-FC96-4EAD-9966-F21EBF0B7455}" uniqueName="7" name="Population Group " queryTableFieldId="7" dataDxfId="21"/>
    <tableColumn id="8" xr3:uid="{BE7B2518-898D-4921-9B10-B9E4787B515D}" uniqueName="8" name="Number of SCB Offices " queryTableFieldId="8" dataDxfId="20"/>
    <tableColumn id="9" xr3:uid="{535FF143-5083-42D3-A4FC-ED533B10F750}" uniqueName="9" name="Number of Accounts with SCBs " queryTableFieldId="9" dataDxfId="19"/>
    <tableColumn id="10" xr3:uid="{FA2C1E3B-93FA-4379-AC16-45BB28247637}" uniqueName="10" name="Amount deposited" queryTableFieldId="10" dataDxfId="18"/>
    <tableColumn id="12" xr3:uid="{55E36A53-5331-4838-A2AA-6F3CB65F81BF}" uniqueName="12" name="Accounts per office" queryTableFieldId="12" dataDxfId="17"/>
    <tableColumn id="13" xr3:uid="{DD602A31-CBB5-4B30-A566-43E3A7951A10}" uniqueName="13" name="Deposit per account" queryTableFieldId="13" dataDxfId="16"/>
    <tableColumn id="14" xr3:uid="{44AAD704-8B6F-439C-9B3F-EC5081226104}" uniqueName="14" name="Deposit per office" queryTableFieldId="14" dataDxfId="15"/>
    <tableColumn id="17" xr3:uid="{6249E245-5D7E-4B45-A0CA-7634E94A5643}" uniqueName="17" name="Deposit Category" queryTableFieldId="18" dataDxfId="14">
      <calculatedColumnFormula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7EC8F-2E2B-4D5D-ACDE-A0E357530473}" name="DIM_STATE" displayName="DIM_STATE" ref="A1:B35" totalsRowShown="0" headerRowDxfId="13" headerRowBorderDxfId="12" tableBorderDxfId="11" totalsRowBorderDxfId="10">
  <autoFilter ref="A1:B35" xr:uid="{AD87EC8F-2E2B-4D5D-ACDE-A0E357530473}"/>
  <tableColumns count="2">
    <tableColumn id="1" xr3:uid="{DAF2E618-5E95-43EE-8EE5-081F8D914832}" name="Column1" dataDxfId="9"/>
    <tableColumn id="2" xr3:uid="{485F6026-990C-4586-ACF4-2180F1E0E02B}" name="State Code 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E0304F-709A-42C0-A3B2-884F2D7C4BB2}" name="DIM_DISTRICT" displayName="DIM_DISTRICT" ref="A1:B350" totalsRowShown="0" headerRowDxfId="2" headerRowBorderDxfId="6" tableBorderDxfId="7" totalsRowBorderDxfId="5">
  <autoFilter ref="A1:B350" xr:uid="{27E0304F-709A-42C0-A3B2-884F2D7C4BB2}"/>
  <tableColumns count="2">
    <tableColumn id="1" xr3:uid="{9A99FD3A-0C62-41F8-8D2A-F1DC3B993908}" name="District Name " dataDxfId="4"/>
    <tableColumn id="2" xr3:uid="{96AC2AE2-63B0-4A19-B5BA-8F37CB26397E}" name="District Code 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F80D8F-38AE-4353-8FC5-AA3117EBB86B}" name="Table4" displayName="Table4" ref="G5:H10" totalsRowShown="0">
  <autoFilter ref="G5:H10" xr:uid="{BEF80D8F-38AE-4353-8FC5-AA3117EBB86B}"/>
  <tableColumns count="2">
    <tableColumn id="1" xr3:uid="{8BF1C825-9AC7-44B5-9E48-E7648C04FF5B}" name="Find out's"/>
    <tableColumn id="2" xr3:uid="{FC2CA775-BF76-4FCC-A166-A8F7B6F01453}" name="Answ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422A-C786-4E22-8428-E0E36E105933}">
  <dimension ref="A1:N501"/>
  <sheetViews>
    <sheetView topLeftCell="A2" workbookViewId="0">
      <selection activeCell="G13" sqref="G13"/>
    </sheetView>
  </sheetViews>
  <sheetFormatPr defaultRowHeight="14.4" x14ac:dyDescent="0.3"/>
  <cols>
    <col min="1" max="1" width="12.109375" bestFit="1" customWidth="1"/>
    <col min="2" max="2" width="16.21875" customWidth="1"/>
    <col min="3" max="3" width="15" customWidth="1"/>
    <col min="4" max="4" width="17" customWidth="1"/>
    <col min="5" max="5" width="14.6640625" customWidth="1"/>
    <col min="6" max="6" width="18" bestFit="1" customWidth="1"/>
    <col min="7" max="7" width="17.109375" customWidth="1"/>
    <col min="8" max="8" width="22.33203125" style="1" customWidth="1"/>
    <col min="9" max="9" width="29.5546875" style="1" customWidth="1"/>
    <col min="10" max="10" width="19.109375" style="2" customWidth="1"/>
    <col min="11" max="11" width="18.6640625" style="1" customWidth="1"/>
    <col min="12" max="12" width="20" style="1" bestFit="1" customWidth="1"/>
    <col min="13" max="13" width="21.21875" style="1" customWidth="1"/>
    <col min="14" max="14" width="17.88671875" customWidth="1"/>
  </cols>
  <sheetData>
    <row r="1" spans="1:14" x14ac:dyDescent="0.3">
      <c r="A1" t="s">
        <v>399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s="1" t="s">
        <v>398</v>
      </c>
      <c r="I1" s="1" t="s">
        <v>400</v>
      </c>
      <c r="J1" s="2" t="s">
        <v>401</v>
      </c>
      <c r="K1" s="1" t="s">
        <v>402</v>
      </c>
      <c r="L1" s="1" t="s">
        <v>403</v>
      </c>
      <c r="M1" s="1" t="s">
        <v>404</v>
      </c>
      <c r="N1" t="s">
        <v>405</v>
      </c>
    </row>
    <row r="2" spans="1:14" x14ac:dyDescent="0.3">
      <c r="A2">
        <v>2022</v>
      </c>
      <c r="B2" t="s">
        <v>4</v>
      </c>
      <c r="C2">
        <v>10</v>
      </c>
      <c r="D2" t="s">
        <v>5</v>
      </c>
      <c r="E2">
        <v>203</v>
      </c>
      <c r="F2" t="s">
        <v>6</v>
      </c>
      <c r="G2" t="s">
        <v>3</v>
      </c>
      <c r="H2" s="1">
        <v>0</v>
      </c>
      <c r="I2" s="1">
        <v>0</v>
      </c>
      <c r="J2" s="2">
        <v>0</v>
      </c>
      <c r="K2" s="1">
        <v>0</v>
      </c>
      <c r="L2" s="1">
        <v>0</v>
      </c>
      <c r="M2" s="1">
        <v>0</v>
      </c>
      <c r="N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" spans="1:14" x14ac:dyDescent="0.3">
      <c r="A3">
        <v>2022</v>
      </c>
      <c r="B3" t="s">
        <v>14</v>
      </c>
      <c r="C3">
        <v>21</v>
      </c>
      <c r="D3" t="s">
        <v>15</v>
      </c>
      <c r="E3">
        <v>346</v>
      </c>
      <c r="F3" t="s">
        <v>6</v>
      </c>
      <c r="G3" t="s">
        <v>13</v>
      </c>
      <c r="H3" s="1">
        <v>154</v>
      </c>
      <c r="I3" s="1">
        <v>2623</v>
      </c>
      <c r="J3" s="2">
        <v>5431</v>
      </c>
      <c r="K3" s="1">
        <v>17.032467532467532</v>
      </c>
      <c r="L3" s="1">
        <v>2.0705299275638582</v>
      </c>
      <c r="M3" s="1">
        <v>35.266233766233768</v>
      </c>
      <c r="N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" spans="1:14" x14ac:dyDescent="0.3">
      <c r="A4">
        <v>2022</v>
      </c>
      <c r="B4" t="s">
        <v>32</v>
      </c>
      <c r="C4">
        <v>14</v>
      </c>
      <c r="D4" t="s">
        <v>33</v>
      </c>
      <c r="E4">
        <v>259</v>
      </c>
      <c r="F4" t="s">
        <v>12</v>
      </c>
      <c r="G4" t="s">
        <v>13</v>
      </c>
      <c r="H4" s="1">
        <v>0</v>
      </c>
      <c r="I4" s="1">
        <v>0</v>
      </c>
      <c r="J4" s="2">
        <v>0</v>
      </c>
      <c r="K4" s="1">
        <v>0</v>
      </c>
      <c r="L4" s="1">
        <v>0</v>
      </c>
      <c r="M4" s="1">
        <v>0</v>
      </c>
      <c r="N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" spans="1:14" x14ac:dyDescent="0.3">
      <c r="A5">
        <v>2022</v>
      </c>
      <c r="B5" t="s">
        <v>14</v>
      </c>
      <c r="C5">
        <v>21</v>
      </c>
      <c r="D5" t="s">
        <v>37</v>
      </c>
      <c r="E5">
        <v>369</v>
      </c>
      <c r="F5" t="s">
        <v>6</v>
      </c>
      <c r="G5" t="s">
        <v>13</v>
      </c>
      <c r="H5" s="1">
        <v>140</v>
      </c>
      <c r="I5" s="1">
        <v>1864</v>
      </c>
      <c r="J5" s="2">
        <v>4090</v>
      </c>
      <c r="K5" s="1">
        <v>13.314285714285715</v>
      </c>
      <c r="L5" s="1">
        <v>2.194206008583691</v>
      </c>
      <c r="M5" s="1">
        <v>29.214285714285715</v>
      </c>
      <c r="N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6" spans="1:14" x14ac:dyDescent="0.3">
      <c r="A6">
        <v>2022</v>
      </c>
      <c r="B6" t="s">
        <v>38</v>
      </c>
      <c r="C6">
        <v>23</v>
      </c>
      <c r="D6" t="s">
        <v>39</v>
      </c>
      <c r="E6">
        <v>426</v>
      </c>
      <c r="F6" t="s">
        <v>2</v>
      </c>
      <c r="G6" t="s">
        <v>27</v>
      </c>
      <c r="H6" s="1">
        <v>0</v>
      </c>
      <c r="I6" s="1">
        <v>0</v>
      </c>
      <c r="J6" s="2">
        <v>0</v>
      </c>
      <c r="K6" s="1">
        <v>0</v>
      </c>
      <c r="L6" s="1">
        <v>0</v>
      </c>
      <c r="M6" s="1">
        <v>0</v>
      </c>
      <c r="N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7" spans="1:14" x14ac:dyDescent="0.3">
      <c r="A7">
        <v>2022</v>
      </c>
      <c r="B7" t="s">
        <v>38</v>
      </c>
      <c r="C7">
        <v>23</v>
      </c>
      <c r="D7" t="s">
        <v>47</v>
      </c>
      <c r="E7">
        <v>432</v>
      </c>
      <c r="F7" t="s">
        <v>2</v>
      </c>
      <c r="G7" t="s">
        <v>27</v>
      </c>
      <c r="H7" s="1">
        <v>32</v>
      </c>
      <c r="I7" s="1">
        <v>568</v>
      </c>
      <c r="J7" s="2">
        <v>2531</v>
      </c>
      <c r="K7" s="1">
        <v>17.75</v>
      </c>
      <c r="L7" s="1">
        <v>4.455985915492958</v>
      </c>
      <c r="M7" s="1">
        <v>79.09375</v>
      </c>
      <c r="N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8" spans="1:14" x14ac:dyDescent="0.3">
      <c r="A8">
        <v>2022</v>
      </c>
      <c r="B8" t="s">
        <v>58</v>
      </c>
      <c r="C8">
        <v>28</v>
      </c>
      <c r="D8" t="s">
        <v>59</v>
      </c>
      <c r="E8">
        <v>520</v>
      </c>
      <c r="F8" t="s">
        <v>9</v>
      </c>
      <c r="G8" t="s">
        <v>3</v>
      </c>
      <c r="H8" s="1">
        <v>0</v>
      </c>
      <c r="I8" s="1">
        <v>0</v>
      </c>
      <c r="J8" s="2">
        <v>0</v>
      </c>
      <c r="K8" s="1">
        <v>0</v>
      </c>
      <c r="L8" s="1">
        <v>0</v>
      </c>
      <c r="M8" s="1">
        <v>0</v>
      </c>
      <c r="N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9" spans="1:14" x14ac:dyDescent="0.3">
      <c r="A9">
        <v>2022</v>
      </c>
      <c r="B9" t="s">
        <v>65</v>
      </c>
      <c r="C9">
        <v>22</v>
      </c>
      <c r="D9" t="s">
        <v>66</v>
      </c>
      <c r="E9">
        <v>645</v>
      </c>
      <c r="F9" t="s">
        <v>2</v>
      </c>
      <c r="G9" t="s">
        <v>13</v>
      </c>
      <c r="H9" s="1">
        <v>23</v>
      </c>
      <c r="I9" s="1">
        <v>534</v>
      </c>
      <c r="J9" s="2">
        <v>564</v>
      </c>
      <c r="K9" s="1">
        <v>23.217391304347824</v>
      </c>
      <c r="L9" s="1">
        <v>1.0561797752808988</v>
      </c>
      <c r="M9" s="1">
        <v>24.521739130434781</v>
      </c>
      <c r="N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0" spans="1:14" x14ac:dyDescent="0.3">
      <c r="A10">
        <v>2022</v>
      </c>
      <c r="B10" t="s">
        <v>53</v>
      </c>
      <c r="C10">
        <v>27</v>
      </c>
      <c r="D10" t="s">
        <v>67</v>
      </c>
      <c r="E10">
        <v>475</v>
      </c>
      <c r="F10" t="s">
        <v>25</v>
      </c>
      <c r="G10" t="s">
        <v>3</v>
      </c>
      <c r="H10" s="1">
        <v>38</v>
      </c>
      <c r="I10" s="1">
        <v>575</v>
      </c>
      <c r="J10" s="2">
        <v>3326</v>
      </c>
      <c r="K10" s="1">
        <v>15.131578947368421</v>
      </c>
      <c r="L10" s="1">
        <v>5.7843478260869565</v>
      </c>
      <c r="M10" s="1">
        <v>87.526315789473685</v>
      </c>
      <c r="N1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1" spans="1:14" x14ac:dyDescent="0.3">
      <c r="A11">
        <v>2022</v>
      </c>
      <c r="B11" t="s">
        <v>70</v>
      </c>
      <c r="C11">
        <v>1</v>
      </c>
      <c r="D11" t="s">
        <v>71</v>
      </c>
      <c r="E11">
        <v>4</v>
      </c>
      <c r="F11" t="s">
        <v>20</v>
      </c>
      <c r="G11" t="s">
        <v>13</v>
      </c>
      <c r="H11" s="1">
        <v>0</v>
      </c>
      <c r="I11" s="1">
        <v>0</v>
      </c>
      <c r="J11" s="2">
        <v>0</v>
      </c>
      <c r="K11" s="1">
        <v>0</v>
      </c>
      <c r="L11" s="1">
        <v>0</v>
      </c>
      <c r="M11" s="1">
        <v>0</v>
      </c>
      <c r="N1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" spans="1:14" x14ac:dyDescent="0.3">
      <c r="A12">
        <v>2022</v>
      </c>
      <c r="B12" t="s">
        <v>79</v>
      </c>
      <c r="C12">
        <v>20</v>
      </c>
      <c r="D12" t="s">
        <v>80</v>
      </c>
      <c r="E12">
        <v>339</v>
      </c>
      <c r="F12" t="s">
        <v>6</v>
      </c>
      <c r="G12" t="s">
        <v>3</v>
      </c>
      <c r="H12" s="1">
        <v>42</v>
      </c>
      <c r="I12" s="1">
        <v>710</v>
      </c>
      <c r="J12" s="2">
        <v>2709</v>
      </c>
      <c r="K12" s="1">
        <v>16.904761904761905</v>
      </c>
      <c r="L12" s="1">
        <v>3.8154929577464789</v>
      </c>
      <c r="M12" s="1">
        <v>64.5</v>
      </c>
      <c r="N1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" spans="1:14" x14ac:dyDescent="0.3">
      <c r="A13">
        <v>2022</v>
      </c>
      <c r="B13" t="s">
        <v>0</v>
      </c>
      <c r="C13">
        <v>9</v>
      </c>
      <c r="D13" t="s">
        <v>83</v>
      </c>
      <c r="E13">
        <v>162</v>
      </c>
      <c r="F13" t="s">
        <v>2</v>
      </c>
      <c r="G13" t="s">
        <v>13</v>
      </c>
      <c r="H13" s="1">
        <v>0</v>
      </c>
      <c r="I13" s="1">
        <v>0</v>
      </c>
      <c r="J13" s="2">
        <v>0</v>
      </c>
      <c r="K13" s="1">
        <v>0</v>
      </c>
      <c r="L13" s="1">
        <v>0</v>
      </c>
      <c r="M13" s="1">
        <v>0</v>
      </c>
      <c r="N1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" spans="1:14" x14ac:dyDescent="0.3">
      <c r="A14">
        <v>2022</v>
      </c>
      <c r="B14" t="s">
        <v>0</v>
      </c>
      <c r="C14">
        <v>9</v>
      </c>
      <c r="D14" t="s">
        <v>84</v>
      </c>
      <c r="E14">
        <v>176</v>
      </c>
      <c r="F14" t="s">
        <v>2</v>
      </c>
      <c r="G14" t="s">
        <v>13</v>
      </c>
      <c r="H14" s="1">
        <v>0</v>
      </c>
      <c r="I14" s="1">
        <v>0</v>
      </c>
      <c r="J14" s="2">
        <v>0</v>
      </c>
      <c r="K14" s="1">
        <v>0</v>
      </c>
      <c r="L14" s="1">
        <v>0</v>
      </c>
      <c r="M14" s="1">
        <v>0</v>
      </c>
      <c r="N1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" spans="1:14" x14ac:dyDescent="0.3">
      <c r="A15">
        <v>2022</v>
      </c>
      <c r="B15" t="s">
        <v>89</v>
      </c>
      <c r="C15">
        <v>34</v>
      </c>
      <c r="D15" t="s">
        <v>90</v>
      </c>
      <c r="E15">
        <v>601</v>
      </c>
      <c r="F15" t="s">
        <v>9</v>
      </c>
      <c r="G15" t="s">
        <v>3</v>
      </c>
      <c r="H15" s="1">
        <v>0</v>
      </c>
      <c r="I15" s="1">
        <v>0</v>
      </c>
      <c r="J15" s="2">
        <v>0</v>
      </c>
      <c r="K15" s="1">
        <v>0</v>
      </c>
      <c r="L15" s="1">
        <v>0</v>
      </c>
      <c r="M15" s="1">
        <v>0</v>
      </c>
      <c r="N1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" spans="1:14" x14ac:dyDescent="0.3">
      <c r="A16">
        <v>2022</v>
      </c>
      <c r="B16" t="s">
        <v>0</v>
      </c>
      <c r="C16">
        <v>9</v>
      </c>
      <c r="D16" t="s">
        <v>92</v>
      </c>
      <c r="E16">
        <v>151</v>
      </c>
      <c r="F16" t="s">
        <v>2</v>
      </c>
      <c r="G16" t="s">
        <v>13</v>
      </c>
      <c r="H16" s="1">
        <v>0</v>
      </c>
      <c r="I16" s="1">
        <v>0</v>
      </c>
      <c r="J16" s="2">
        <v>0</v>
      </c>
      <c r="K16" s="1">
        <v>0</v>
      </c>
      <c r="L16" s="1">
        <v>0</v>
      </c>
      <c r="M16" s="1">
        <v>0</v>
      </c>
      <c r="N1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" spans="1:14" x14ac:dyDescent="0.3">
      <c r="A17">
        <v>2022</v>
      </c>
      <c r="B17" t="s">
        <v>0</v>
      </c>
      <c r="C17">
        <v>9</v>
      </c>
      <c r="D17" t="s">
        <v>96</v>
      </c>
      <c r="E17">
        <v>145</v>
      </c>
      <c r="F17" t="s">
        <v>2</v>
      </c>
      <c r="G17" t="s">
        <v>3</v>
      </c>
      <c r="H17" s="1">
        <v>0</v>
      </c>
      <c r="I17" s="1">
        <v>0</v>
      </c>
      <c r="J17" s="2">
        <v>0</v>
      </c>
      <c r="K17" s="1">
        <v>0</v>
      </c>
      <c r="L17" s="1">
        <v>0</v>
      </c>
      <c r="M17" s="1">
        <v>0</v>
      </c>
      <c r="N1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8" spans="1:14" x14ac:dyDescent="0.3">
      <c r="A18">
        <v>2022</v>
      </c>
      <c r="B18" t="s">
        <v>14</v>
      </c>
      <c r="C18">
        <v>21</v>
      </c>
      <c r="D18" t="s">
        <v>100</v>
      </c>
      <c r="E18">
        <v>354</v>
      </c>
      <c r="F18" t="s">
        <v>6</v>
      </c>
      <c r="G18" t="s">
        <v>3</v>
      </c>
      <c r="H18" s="1">
        <v>0</v>
      </c>
      <c r="I18" s="1">
        <v>0</v>
      </c>
      <c r="J18" s="2">
        <v>0</v>
      </c>
      <c r="K18" s="1">
        <v>0</v>
      </c>
      <c r="L18" s="1">
        <v>0</v>
      </c>
      <c r="M18" s="1">
        <v>0</v>
      </c>
      <c r="N1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" spans="1:14" x14ac:dyDescent="0.3">
      <c r="A19">
        <v>2022</v>
      </c>
      <c r="B19" t="s">
        <v>60</v>
      </c>
      <c r="C19">
        <v>6</v>
      </c>
      <c r="D19" t="s">
        <v>103</v>
      </c>
      <c r="E19">
        <v>74</v>
      </c>
      <c r="F19" t="s">
        <v>20</v>
      </c>
      <c r="G19" t="s">
        <v>27</v>
      </c>
      <c r="H19" s="1">
        <v>0</v>
      </c>
      <c r="I19" s="1">
        <v>0</v>
      </c>
      <c r="J19" s="2">
        <v>0</v>
      </c>
      <c r="K19" s="1">
        <v>0</v>
      </c>
      <c r="L19" s="1">
        <v>0</v>
      </c>
      <c r="M19" s="1">
        <v>0</v>
      </c>
      <c r="N1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" spans="1:14" x14ac:dyDescent="0.3">
      <c r="A20">
        <v>2022</v>
      </c>
      <c r="B20" t="s">
        <v>30</v>
      </c>
      <c r="C20">
        <v>32</v>
      </c>
      <c r="D20" t="s">
        <v>106</v>
      </c>
      <c r="E20">
        <v>565</v>
      </c>
      <c r="F20" t="s">
        <v>9</v>
      </c>
      <c r="G20" t="s">
        <v>13</v>
      </c>
      <c r="H20" s="1">
        <v>7</v>
      </c>
      <c r="I20" s="1">
        <v>100</v>
      </c>
      <c r="J20" s="2">
        <v>241</v>
      </c>
      <c r="K20" s="1">
        <v>14.285714285714286</v>
      </c>
      <c r="L20" s="1">
        <v>2.41</v>
      </c>
      <c r="M20" s="1">
        <v>34.428571428571431</v>
      </c>
      <c r="N2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1" spans="1:14" x14ac:dyDescent="0.3">
      <c r="A21">
        <v>2022</v>
      </c>
      <c r="B21" t="s">
        <v>58</v>
      </c>
      <c r="C21">
        <v>28</v>
      </c>
      <c r="D21" t="s">
        <v>107</v>
      </c>
      <c r="E21">
        <v>510</v>
      </c>
      <c r="F21" t="s">
        <v>9</v>
      </c>
      <c r="G21" t="s">
        <v>17</v>
      </c>
      <c r="H21" s="1">
        <v>0</v>
      </c>
      <c r="I21" s="1">
        <v>0</v>
      </c>
      <c r="J21" s="2">
        <v>0</v>
      </c>
      <c r="K21" s="1">
        <v>0</v>
      </c>
      <c r="L21" s="1">
        <v>0</v>
      </c>
      <c r="M21" s="1">
        <v>0</v>
      </c>
      <c r="N2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" spans="1:14" x14ac:dyDescent="0.3">
      <c r="A22">
        <v>2022</v>
      </c>
      <c r="B22" t="s">
        <v>58</v>
      </c>
      <c r="C22">
        <v>28</v>
      </c>
      <c r="D22" t="s">
        <v>112</v>
      </c>
      <c r="E22">
        <v>503</v>
      </c>
      <c r="F22" t="s">
        <v>9</v>
      </c>
      <c r="G22" t="s">
        <v>27</v>
      </c>
      <c r="H22" s="1">
        <v>207</v>
      </c>
      <c r="I22" s="1">
        <v>2586</v>
      </c>
      <c r="J22" s="2">
        <v>24021</v>
      </c>
      <c r="K22" s="1">
        <v>12.492753623188406</v>
      </c>
      <c r="L22" s="1">
        <v>9.288863109048723</v>
      </c>
      <c r="M22" s="1">
        <v>116.04347826086956</v>
      </c>
      <c r="N2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3" spans="1:14" x14ac:dyDescent="0.3">
      <c r="A23">
        <v>2022</v>
      </c>
      <c r="B23" t="s">
        <v>53</v>
      </c>
      <c r="C23">
        <v>27</v>
      </c>
      <c r="D23" t="s">
        <v>119</v>
      </c>
      <c r="E23">
        <v>490</v>
      </c>
      <c r="F23" t="s">
        <v>25</v>
      </c>
      <c r="G23" t="s">
        <v>13</v>
      </c>
      <c r="H23" s="1">
        <v>275</v>
      </c>
      <c r="I23" s="1">
        <v>2612</v>
      </c>
      <c r="J23" s="2">
        <v>12628</v>
      </c>
      <c r="K23" s="1">
        <v>9.4981818181818181</v>
      </c>
      <c r="L23" s="1">
        <v>4.8346094946401221</v>
      </c>
      <c r="M23" s="1">
        <v>45.92</v>
      </c>
      <c r="N2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" spans="1:14" x14ac:dyDescent="0.3">
      <c r="A24">
        <v>2022</v>
      </c>
      <c r="B24" t="s">
        <v>30</v>
      </c>
      <c r="C24">
        <v>32</v>
      </c>
      <c r="D24" t="s">
        <v>134</v>
      </c>
      <c r="E24">
        <v>564</v>
      </c>
      <c r="F24" t="s">
        <v>9</v>
      </c>
      <c r="G24" t="s">
        <v>13</v>
      </c>
      <c r="H24" s="1">
        <v>0</v>
      </c>
      <c r="I24" s="1">
        <v>0</v>
      </c>
      <c r="J24" s="2">
        <v>0</v>
      </c>
      <c r="K24" s="1">
        <v>0</v>
      </c>
      <c r="L24" s="1">
        <v>0</v>
      </c>
      <c r="M24" s="1">
        <v>0</v>
      </c>
      <c r="N2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" spans="1:14" x14ac:dyDescent="0.3">
      <c r="A25">
        <v>2022</v>
      </c>
      <c r="B25" t="s">
        <v>136</v>
      </c>
      <c r="C25">
        <v>15</v>
      </c>
      <c r="D25" t="s">
        <v>137</v>
      </c>
      <c r="E25">
        <v>264</v>
      </c>
      <c r="F25" t="s">
        <v>12</v>
      </c>
      <c r="G25" t="s">
        <v>13</v>
      </c>
      <c r="H25" s="1">
        <v>0</v>
      </c>
      <c r="I25" s="1">
        <v>0</v>
      </c>
      <c r="J25" s="2">
        <v>0</v>
      </c>
      <c r="K25" s="1">
        <v>0</v>
      </c>
      <c r="L25" s="1">
        <v>0</v>
      </c>
      <c r="M25" s="1">
        <v>0</v>
      </c>
      <c r="N2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" spans="1:14" x14ac:dyDescent="0.3">
      <c r="A26">
        <v>2022</v>
      </c>
      <c r="B26" t="s">
        <v>77</v>
      </c>
      <c r="C26">
        <v>8</v>
      </c>
      <c r="D26" t="s">
        <v>141</v>
      </c>
      <c r="E26">
        <v>88</v>
      </c>
      <c r="F26" t="s">
        <v>20</v>
      </c>
      <c r="G26" t="s">
        <v>3</v>
      </c>
      <c r="H26" s="1">
        <v>0</v>
      </c>
      <c r="I26" s="1">
        <v>0</v>
      </c>
      <c r="J26" s="2">
        <v>0</v>
      </c>
      <c r="K26" s="1">
        <v>0</v>
      </c>
      <c r="L26" s="1">
        <v>0</v>
      </c>
      <c r="M26" s="1">
        <v>0</v>
      </c>
      <c r="N2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" spans="1:14" x14ac:dyDescent="0.3">
      <c r="A27">
        <v>2022</v>
      </c>
      <c r="B27" t="s">
        <v>0</v>
      </c>
      <c r="C27">
        <v>9</v>
      </c>
      <c r="D27" t="s">
        <v>142</v>
      </c>
      <c r="E27">
        <v>171</v>
      </c>
      <c r="F27" t="s">
        <v>2</v>
      </c>
      <c r="G27" t="s">
        <v>27</v>
      </c>
      <c r="H27" s="1">
        <v>150</v>
      </c>
      <c r="I27" s="1">
        <v>2073</v>
      </c>
      <c r="J27" s="2">
        <v>14880</v>
      </c>
      <c r="K27" s="1">
        <v>13.82</v>
      </c>
      <c r="L27" s="1">
        <v>7.1780028943560055</v>
      </c>
      <c r="M27" s="1">
        <v>99.2</v>
      </c>
      <c r="N2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8" spans="1:14" x14ac:dyDescent="0.3">
      <c r="A28">
        <v>2022</v>
      </c>
      <c r="B28" t="s">
        <v>4</v>
      </c>
      <c r="C28">
        <v>10</v>
      </c>
      <c r="D28" t="s">
        <v>143</v>
      </c>
      <c r="E28">
        <v>219</v>
      </c>
      <c r="F28" t="s">
        <v>6</v>
      </c>
      <c r="G28" t="s">
        <v>13</v>
      </c>
      <c r="H28" s="1">
        <v>30</v>
      </c>
      <c r="I28" s="1">
        <v>297</v>
      </c>
      <c r="J28" s="2">
        <v>468</v>
      </c>
      <c r="K28" s="1">
        <v>9.9</v>
      </c>
      <c r="L28" s="1">
        <v>1.5757575757575757</v>
      </c>
      <c r="M28" s="1">
        <v>15.6</v>
      </c>
      <c r="N2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9" spans="1:14" x14ac:dyDescent="0.3">
      <c r="A29">
        <v>2022</v>
      </c>
      <c r="B29" t="s">
        <v>23</v>
      </c>
      <c r="C29">
        <v>24</v>
      </c>
      <c r="D29" t="s">
        <v>26</v>
      </c>
      <c r="E29">
        <v>451</v>
      </c>
      <c r="F29" t="s">
        <v>25</v>
      </c>
      <c r="G29" t="s">
        <v>13</v>
      </c>
      <c r="H29" s="1">
        <v>138</v>
      </c>
      <c r="I29" s="1">
        <v>1222</v>
      </c>
      <c r="J29" s="2">
        <v>3382</v>
      </c>
      <c r="K29" s="1">
        <v>8.8550724637681153</v>
      </c>
      <c r="L29" s="1">
        <v>2.7675941080196398</v>
      </c>
      <c r="M29" s="1">
        <v>24.507246376811594</v>
      </c>
      <c r="N2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0" spans="1:14" x14ac:dyDescent="0.3">
      <c r="A30">
        <v>2022</v>
      </c>
      <c r="B30" t="s">
        <v>4</v>
      </c>
      <c r="C30">
        <v>10</v>
      </c>
      <c r="D30" t="s">
        <v>153</v>
      </c>
      <c r="E30">
        <v>212</v>
      </c>
      <c r="F30" t="s">
        <v>6</v>
      </c>
      <c r="G30" t="s">
        <v>17</v>
      </c>
      <c r="H30" s="1">
        <v>0</v>
      </c>
      <c r="I30" s="1">
        <v>0</v>
      </c>
      <c r="J30" s="2">
        <v>0</v>
      </c>
      <c r="K30" s="1">
        <v>0</v>
      </c>
      <c r="L30" s="1">
        <v>0</v>
      </c>
      <c r="M30" s="1">
        <v>0</v>
      </c>
      <c r="N3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1" spans="1:14" x14ac:dyDescent="0.3">
      <c r="A31">
        <v>2022</v>
      </c>
      <c r="B31" t="s">
        <v>0</v>
      </c>
      <c r="C31">
        <v>9</v>
      </c>
      <c r="D31" t="s">
        <v>157</v>
      </c>
      <c r="E31">
        <v>123</v>
      </c>
      <c r="F31" t="s">
        <v>2</v>
      </c>
      <c r="G31" t="s">
        <v>27</v>
      </c>
      <c r="H31" s="1">
        <v>51</v>
      </c>
      <c r="I31" s="1">
        <v>706</v>
      </c>
      <c r="J31" s="2">
        <v>5012</v>
      </c>
      <c r="K31" s="1">
        <v>13.843137254901961</v>
      </c>
      <c r="L31" s="1">
        <v>7.0991501416430598</v>
      </c>
      <c r="M31" s="1">
        <v>98.274509803921575</v>
      </c>
      <c r="N3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2" spans="1:14" x14ac:dyDescent="0.3">
      <c r="A32">
        <v>2022</v>
      </c>
      <c r="B32" t="s">
        <v>58</v>
      </c>
      <c r="C32">
        <v>28</v>
      </c>
      <c r="D32" t="s">
        <v>159</v>
      </c>
      <c r="E32">
        <v>517</v>
      </c>
      <c r="F32" t="s">
        <v>9</v>
      </c>
      <c r="G32" t="s">
        <v>13</v>
      </c>
      <c r="H32" s="1">
        <v>199</v>
      </c>
      <c r="I32" s="1">
        <v>2114</v>
      </c>
      <c r="J32" s="2">
        <v>3921</v>
      </c>
      <c r="K32" s="1">
        <v>10.623115577889447</v>
      </c>
      <c r="L32" s="1">
        <v>1.8547776726584673</v>
      </c>
      <c r="M32" s="1">
        <v>19.7035175879397</v>
      </c>
      <c r="N3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" spans="1:14" x14ac:dyDescent="0.3">
      <c r="A33">
        <v>2022</v>
      </c>
      <c r="B33" t="s">
        <v>58</v>
      </c>
      <c r="C33">
        <v>28</v>
      </c>
      <c r="D33" t="s">
        <v>159</v>
      </c>
      <c r="E33">
        <v>517</v>
      </c>
      <c r="F33" t="s">
        <v>9</v>
      </c>
      <c r="G33" t="s">
        <v>13</v>
      </c>
      <c r="H33" s="1">
        <v>0</v>
      </c>
      <c r="I33" s="1">
        <v>0</v>
      </c>
      <c r="J33" s="2">
        <v>0</v>
      </c>
      <c r="K33" s="1">
        <v>0</v>
      </c>
      <c r="L33" s="1">
        <v>0</v>
      </c>
      <c r="M33" s="1">
        <v>0</v>
      </c>
      <c r="N3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4" spans="1:14" x14ac:dyDescent="0.3">
      <c r="A34">
        <v>2022</v>
      </c>
      <c r="B34" t="s">
        <v>10</v>
      </c>
      <c r="C34">
        <v>18</v>
      </c>
      <c r="D34" t="s">
        <v>162</v>
      </c>
      <c r="E34">
        <v>296</v>
      </c>
      <c r="F34" t="s">
        <v>12</v>
      </c>
      <c r="G34" t="s">
        <v>3</v>
      </c>
      <c r="H34" s="1">
        <v>0</v>
      </c>
      <c r="I34" s="1">
        <v>0</v>
      </c>
      <c r="J34" s="2">
        <v>0</v>
      </c>
      <c r="K34" s="1">
        <v>0</v>
      </c>
      <c r="L34" s="1">
        <v>0</v>
      </c>
      <c r="M34" s="1">
        <v>0</v>
      </c>
      <c r="N3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5" spans="1:14" x14ac:dyDescent="0.3">
      <c r="A35">
        <v>2022</v>
      </c>
      <c r="B35" t="s">
        <v>0</v>
      </c>
      <c r="C35">
        <v>9</v>
      </c>
      <c r="D35" t="s">
        <v>163</v>
      </c>
      <c r="E35">
        <v>159</v>
      </c>
      <c r="F35" t="s">
        <v>2</v>
      </c>
      <c r="G35" t="s">
        <v>3</v>
      </c>
      <c r="H35" s="1">
        <v>0</v>
      </c>
      <c r="I35" s="1">
        <v>0</v>
      </c>
      <c r="J35" s="2">
        <v>0</v>
      </c>
      <c r="K35" s="1">
        <v>0</v>
      </c>
      <c r="L35" s="1">
        <v>0</v>
      </c>
      <c r="M35" s="1">
        <v>0</v>
      </c>
      <c r="N3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" spans="1:14" x14ac:dyDescent="0.3">
      <c r="A36">
        <v>2022</v>
      </c>
      <c r="B36" t="s">
        <v>28</v>
      </c>
      <c r="C36">
        <v>36</v>
      </c>
      <c r="D36" t="s">
        <v>164</v>
      </c>
      <c r="E36">
        <v>695</v>
      </c>
      <c r="F36" t="s">
        <v>9</v>
      </c>
      <c r="G36" t="s">
        <v>13</v>
      </c>
      <c r="H36" s="1">
        <v>22</v>
      </c>
      <c r="I36" s="1">
        <v>337</v>
      </c>
      <c r="J36" s="2">
        <v>372</v>
      </c>
      <c r="K36" s="1">
        <v>15.318181818181818</v>
      </c>
      <c r="L36" s="1">
        <v>1.1038575667655786</v>
      </c>
      <c r="M36" s="1">
        <v>16.90909090909091</v>
      </c>
      <c r="N3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7" spans="1:14" x14ac:dyDescent="0.3">
      <c r="A37">
        <v>2022</v>
      </c>
      <c r="B37" t="s">
        <v>44</v>
      </c>
      <c r="C37">
        <v>3</v>
      </c>
      <c r="D37" t="s">
        <v>122</v>
      </c>
      <c r="E37">
        <v>27</v>
      </c>
      <c r="F37" t="s">
        <v>20</v>
      </c>
      <c r="G37" t="s">
        <v>13</v>
      </c>
      <c r="H37" s="1">
        <v>163</v>
      </c>
      <c r="I37" s="1">
        <v>1559</v>
      </c>
      <c r="J37" s="2">
        <v>6813</v>
      </c>
      <c r="K37" s="1">
        <v>9.5644171779141107</v>
      </c>
      <c r="L37" s="1">
        <v>4.3701090442591406</v>
      </c>
      <c r="M37" s="1">
        <v>41.79754601226994</v>
      </c>
      <c r="N3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8" spans="1:14" x14ac:dyDescent="0.3">
      <c r="A38">
        <v>2022</v>
      </c>
      <c r="B38" t="s">
        <v>44</v>
      </c>
      <c r="C38">
        <v>3</v>
      </c>
      <c r="D38" t="s">
        <v>173</v>
      </c>
      <c r="E38">
        <v>36</v>
      </c>
      <c r="F38" t="s">
        <v>20</v>
      </c>
      <c r="G38" t="s">
        <v>27</v>
      </c>
      <c r="H38" s="1">
        <v>39</v>
      </c>
      <c r="I38" s="1">
        <v>446</v>
      </c>
      <c r="J38" s="2">
        <v>3586</v>
      </c>
      <c r="K38" s="1">
        <v>11.435897435897436</v>
      </c>
      <c r="L38" s="1">
        <v>8.0403587443946183</v>
      </c>
      <c r="M38" s="1">
        <v>91.948717948717942</v>
      </c>
      <c r="N3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9" spans="1:14" x14ac:dyDescent="0.3">
      <c r="A39">
        <v>2022</v>
      </c>
      <c r="B39" t="s">
        <v>23</v>
      </c>
      <c r="C39">
        <v>24</v>
      </c>
      <c r="D39" t="s">
        <v>175</v>
      </c>
      <c r="E39">
        <v>456</v>
      </c>
      <c r="F39" t="s">
        <v>25</v>
      </c>
      <c r="G39" t="s">
        <v>27</v>
      </c>
      <c r="H39" s="1">
        <v>45</v>
      </c>
      <c r="I39" s="1">
        <v>591</v>
      </c>
      <c r="J39" s="2">
        <v>7373</v>
      </c>
      <c r="K39" s="1">
        <v>13.133333333333333</v>
      </c>
      <c r="L39" s="1">
        <v>12.475465313028765</v>
      </c>
      <c r="M39" s="1">
        <v>163.84444444444443</v>
      </c>
      <c r="N3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40" spans="1:14" x14ac:dyDescent="0.3">
      <c r="A40">
        <v>2022</v>
      </c>
      <c r="B40" t="s">
        <v>0</v>
      </c>
      <c r="C40">
        <v>9</v>
      </c>
      <c r="D40" t="s">
        <v>83</v>
      </c>
      <c r="E40">
        <v>162</v>
      </c>
      <c r="F40" t="s">
        <v>2</v>
      </c>
      <c r="G40" t="s">
        <v>3</v>
      </c>
      <c r="H40" s="1">
        <v>0</v>
      </c>
      <c r="I40" s="1">
        <v>0</v>
      </c>
      <c r="J40" s="2">
        <v>0</v>
      </c>
      <c r="K40" s="1">
        <v>0</v>
      </c>
      <c r="L40" s="1">
        <v>0</v>
      </c>
      <c r="M40" s="1">
        <v>0</v>
      </c>
      <c r="N4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" spans="1:14" x14ac:dyDescent="0.3">
      <c r="A41">
        <v>2022</v>
      </c>
      <c r="B41" t="s">
        <v>77</v>
      </c>
      <c r="C41">
        <v>8</v>
      </c>
      <c r="D41" t="s">
        <v>189</v>
      </c>
      <c r="E41">
        <v>110</v>
      </c>
      <c r="F41" t="s">
        <v>20</v>
      </c>
      <c r="G41" t="s">
        <v>13</v>
      </c>
      <c r="H41" s="1">
        <v>0</v>
      </c>
      <c r="I41" s="1">
        <v>0</v>
      </c>
      <c r="J41" s="2">
        <v>0</v>
      </c>
      <c r="K41" s="1">
        <v>0</v>
      </c>
      <c r="L41" s="1">
        <v>0</v>
      </c>
      <c r="M41" s="1">
        <v>0</v>
      </c>
      <c r="N4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" spans="1:14" x14ac:dyDescent="0.3">
      <c r="A42">
        <v>2022</v>
      </c>
      <c r="B42" t="s">
        <v>0</v>
      </c>
      <c r="C42">
        <v>9</v>
      </c>
      <c r="D42" t="s">
        <v>195</v>
      </c>
      <c r="E42">
        <v>136</v>
      </c>
      <c r="F42" t="s">
        <v>2</v>
      </c>
      <c r="G42" t="s">
        <v>13</v>
      </c>
      <c r="H42" s="1">
        <v>43</v>
      </c>
      <c r="I42" s="1">
        <v>688</v>
      </c>
      <c r="J42" s="2">
        <v>1162</v>
      </c>
      <c r="K42" s="1">
        <v>16</v>
      </c>
      <c r="L42" s="1">
        <v>1.6889534883720929</v>
      </c>
      <c r="M42" s="1">
        <v>27.023255813953487</v>
      </c>
      <c r="N4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3" spans="1:14" x14ac:dyDescent="0.3">
      <c r="A43">
        <v>2022</v>
      </c>
      <c r="B43" t="s">
        <v>196</v>
      </c>
      <c r="C43">
        <v>16</v>
      </c>
      <c r="D43" t="s">
        <v>197</v>
      </c>
      <c r="E43">
        <v>270</v>
      </c>
      <c r="F43" t="s">
        <v>12</v>
      </c>
      <c r="G43" t="s">
        <v>3</v>
      </c>
      <c r="H43" s="1">
        <v>0</v>
      </c>
      <c r="I43" s="1">
        <v>0</v>
      </c>
      <c r="J43" s="2">
        <v>0</v>
      </c>
      <c r="K43" s="1">
        <v>0</v>
      </c>
      <c r="L43" s="1">
        <v>0</v>
      </c>
      <c r="M43" s="1">
        <v>0</v>
      </c>
      <c r="N4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" spans="1:14" x14ac:dyDescent="0.3">
      <c r="A44">
        <v>2022</v>
      </c>
      <c r="B44" t="s">
        <v>7</v>
      </c>
      <c r="C44">
        <v>33</v>
      </c>
      <c r="D44" t="s">
        <v>199</v>
      </c>
      <c r="E44">
        <v>568</v>
      </c>
      <c r="F44" t="s">
        <v>9</v>
      </c>
      <c r="G44" t="s">
        <v>17</v>
      </c>
      <c r="H44" s="1">
        <v>0</v>
      </c>
      <c r="I44" s="1">
        <v>0</v>
      </c>
      <c r="J44" s="2">
        <v>0</v>
      </c>
      <c r="K44" s="1">
        <v>0</v>
      </c>
      <c r="L44" s="1">
        <v>0</v>
      </c>
      <c r="M44" s="1">
        <v>0</v>
      </c>
      <c r="N4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" spans="1:14" x14ac:dyDescent="0.3">
      <c r="A45">
        <v>2022</v>
      </c>
      <c r="B45" t="s">
        <v>4</v>
      </c>
      <c r="C45">
        <v>10</v>
      </c>
      <c r="D45" t="s">
        <v>201</v>
      </c>
      <c r="E45">
        <v>218</v>
      </c>
      <c r="F45" t="s">
        <v>6</v>
      </c>
      <c r="G45" t="s">
        <v>13</v>
      </c>
      <c r="H45" s="1">
        <v>162</v>
      </c>
      <c r="I45" s="1">
        <v>10138</v>
      </c>
      <c r="J45" s="2">
        <v>6462</v>
      </c>
      <c r="K45" s="1">
        <v>62.580246913580247</v>
      </c>
      <c r="L45" s="1">
        <v>0.63740382718484911</v>
      </c>
      <c r="M45" s="1">
        <v>39.888888888888886</v>
      </c>
      <c r="N4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" spans="1:14" x14ac:dyDescent="0.3">
      <c r="A46">
        <v>2022</v>
      </c>
      <c r="B46" t="s">
        <v>23</v>
      </c>
      <c r="C46">
        <v>24</v>
      </c>
      <c r="D46" t="s">
        <v>205</v>
      </c>
      <c r="E46">
        <v>443</v>
      </c>
      <c r="F46" t="s">
        <v>25</v>
      </c>
      <c r="G46" t="s">
        <v>13</v>
      </c>
      <c r="H46" s="1">
        <v>78</v>
      </c>
      <c r="I46" s="1">
        <v>943</v>
      </c>
      <c r="J46" s="2">
        <v>2433</v>
      </c>
      <c r="K46" s="1">
        <v>12.089743589743589</v>
      </c>
      <c r="L46" s="1">
        <v>2.5800636267232235</v>
      </c>
      <c r="M46" s="1">
        <v>31.192307692307693</v>
      </c>
      <c r="N4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" spans="1:14" x14ac:dyDescent="0.3">
      <c r="A47">
        <v>2022</v>
      </c>
      <c r="B47" t="s">
        <v>28</v>
      </c>
      <c r="C47">
        <v>36</v>
      </c>
      <c r="D47" t="s">
        <v>193</v>
      </c>
      <c r="E47">
        <v>514</v>
      </c>
      <c r="F47" t="s">
        <v>9</v>
      </c>
      <c r="G47" t="s">
        <v>3</v>
      </c>
      <c r="H47" s="1">
        <v>0</v>
      </c>
      <c r="I47" s="1">
        <v>0</v>
      </c>
      <c r="J47" s="2">
        <v>0</v>
      </c>
      <c r="K47" s="1">
        <v>0</v>
      </c>
      <c r="L47" s="1">
        <v>0</v>
      </c>
      <c r="M47" s="1">
        <v>0</v>
      </c>
      <c r="N4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8" spans="1:14" x14ac:dyDescent="0.3">
      <c r="A48">
        <v>2022</v>
      </c>
      <c r="B48" t="s">
        <v>28</v>
      </c>
      <c r="C48">
        <v>36</v>
      </c>
      <c r="D48" t="s">
        <v>212</v>
      </c>
      <c r="E48">
        <v>683</v>
      </c>
      <c r="F48" t="s">
        <v>9</v>
      </c>
      <c r="G48" t="s">
        <v>3</v>
      </c>
      <c r="H48" s="1">
        <v>0</v>
      </c>
      <c r="I48" s="1">
        <v>0</v>
      </c>
      <c r="J48" s="2">
        <v>0</v>
      </c>
      <c r="K48" s="1">
        <v>0</v>
      </c>
      <c r="L48" s="1">
        <v>0</v>
      </c>
      <c r="M48" s="1">
        <v>0</v>
      </c>
      <c r="N4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9" spans="1:14" x14ac:dyDescent="0.3">
      <c r="A49">
        <v>2022</v>
      </c>
      <c r="B49" t="s">
        <v>38</v>
      </c>
      <c r="C49">
        <v>23</v>
      </c>
      <c r="D49" t="s">
        <v>123</v>
      </c>
      <c r="E49">
        <v>417</v>
      </c>
      <c r="F49" t="s">
        <v>2</v>
      </c>
      <c r="G49" t="s">
        <v>27</v>
      </c>
      <c r="H49" s="1">
        <v>25</v>
      </c>
      <c r="I49" s="1">
        <v>637</v>
      </c>
      <c r="J49" s="2">
        <v>2437</v>
      </c>
      <c r="K49" s="1">
        <v>25.48</v>
      </c>
      <c r="L49" s="1">
        <v>3.8257456828885399</v>
      </c>
      <c r="M49" s="1">
        <v>97.48</v>
      </c>
      <c r="N4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50" spans="1:14" x14ac:dyDescent="0.3">
      <c r="A50">
        <v>2022</v>
      </c>
      <c r="B50" t="s">
        <v>32</v>
      </c>
      <c r="C50">
        <v>14</v>
      </c>
      <c r="D50" t="s">
        <v>33</v>
      </c>
      <c r="E50">
        <v>259</v>
      </c>
      <c r="F50" t="s">
        <v>12</v>
      </c>
      <c r="G50" t="s">
        <v>13</v>
      </c>
      <c r="H50" s="1">
        <v>7</v>
      </c>
      <c r="I50" s="1">
        <v>124</v>
      </c>
      <c r="J50" s="2">
        <v>73</v>
      </c>
      <c r="K50" s="1">
        <v>17.714285714285715</v>
      </c>
      <c r="L50" s="1">
        <v>0.58870967741935487</v>
      </c>
      <c r="M50" s="1">
        <v>10.428571428571429</v>
      </c>
      <c r="N5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1" spans="1:14" x14ac:dyDescent="0.3">
      <c r="A51">
        <v>2022</v>
      </c>
      <c r="B51" t="s">
        <v>21</v>
      </c>
      <c r="C51">
        <v>19</v>
      </c>
      <c r="D51" t="s">
        <v>224</v>
      </c>
      <c r="E51">
        <v>308</v>
      </c>
      <c r="F51" t="s">
        <v>6</v>
      </c>
      <c r="G51" t="s">
        <v>13</v>
      </c>
      <c r="H51" s="1">
        <v>0</v>
      </c>
      <c r="I51" s="1">
        <v>0</v>
      </c>
      <c r="J51" s="2">
        <v>0</v>
      </c>
      <c r="K51" s="1">
        <v>0</v>
      </c>
      <c r="L51" s="1">
        <v>0</v>
      </c>
      <c r="M51" s="1">
        <v>0</v>
      </c>
      <c r="N5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2" spans="1:14" x14ac:dyDescent="0.3">
      <c r="A52">
        <v>2022</v>
      </c>
      <c r="B52" t="s">
        <v>58</v>
      </c>
      <c r="C52">
        <v>28</v>
      </c>
      <c r="D52" t="s">
        <v>225</v>
      </c>
      <c r="E52">
        <v>519</v>
      </c>
      <c r="F52" t="s">
        <v>9</v>
      </c>
      <c r="G52" t="s">
        <v>13</v>
      </c>
      <c r="H52" s="1">
        <v>0</v>
      </c>
      <c r="I52" s="1">
        <v>0</v>
      </c>
      <c r="J52" s="2">
        <v>0</v>
      </c>
      <c r="K52" s="1">
        <v>0</v>
      </c>
      <c r="L52" s="1">
        <v>0</v>
      </c>
      <c r="M52" s="1">
        <v>0</v>
      </c>
      <c r="N5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3" spans="1:14" x14ac:dyDescent="0.3">
      <c r="A53">
        <v>2022</v>
      </c>
      <c r="B53" t="s">
        <v>30</v>
      </c>
      <c r="C53">
        <v>32</v>
      </c>
      <c r="D53" t="s">
        <v>46</v>
      </c>
      <c r="E53">
        <v>563</v>
      </c>
      <c r="F53" t="s">
        <v>9</v>
      </c>
      <c r="G53" t="s">
        <v>3</v>
      </c>
      <c r="H53" s="1">
        <v>0</v>
      </c>
      <c r="I53" s="1">
        <v>0</v>
      </c>
      <c r="J53" s="2">
        <v>0</v>
      </c>
      <c r="K53" s="1">
        <v>0</v>
      </c>
      <c r="L53" s="1">
        <v>0</v>
      </c>
      <c r="M53" s="1">
        <v>0</v>
      </c>
      <c r="N5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4" spans="1:14" x14ac:dyDescent="0.3">
      <c r="A54">
        <v>2022</v>
      </c>
      <c r="B54" t="s">
        <v>28</v>
      </c>
      <c r="C54">
        <v>36</v>
      </c>
      <c r="D54" t="s">
        <v>114</v>
      </c>
      <c r="E54">
        <v>694</v>
      </c>
      <c r="F54" t="s">
        <v>9</v>
      </c>
      <c r="G54" t="s">
        <v>13</v>
      </c>
      <c r="H54" s="1">
        <v>0</v>
      </c>
      <c r="I54" s="1">
        <v>0</v>
      </c>
      <c r="J54" s="2">
        <v>0</v>
      </c>
      <c r="K54" s="1">
        <v>0</v>
      </c>
      <c r="L54" s="1">
        <v>0</v>
      </c>
      <c r="M54" s="1">
        <v>0</v>
      </c>
      <c r="N5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5" spans="1:14" x14ac:dyDescent="0.3">
      <c r="A55">
        <v>2022</v>
      </c>
      <c r="B55" t="s">
        <v>81</v>
      </c>
      <c r="C55">
        <v>12</v>
      </c>
      <c r="D55" t="s">
        <v>170</v>
      </c>
      <c r="E55">
        <v>240</v>
      </c>
      <c r="F55" t="s">
        <v>12</v>
      </c>
      <c r="G55" t="s">
        <v>13</v>
      </c>
      <c r="H55" s="1">
        <v>0</v>
      </c>
      <c r="I55" s="1">
        <v>0</v>
      </c>
      <c r="J55" s="2">
        <v>0</v>
      </c>
      <c r="K55" s="1">
        <v>0</v>
      </c>
      <c r="L55" s="1">
        <v>0</v>
      </c>
      <c r="M55" s="1">
        <v>0</v>
      </c>
      <c r="N5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6" spans="1:14" x14ac:dyDescent="0.3">
      <c r="A56">
        <v>2022</v>
      </c>
      <c r="B56" t="s">
        <v>41</v>
      </c>
      <c r="C56">
        <v>29</v>
      </c>
      <c r="D56" t="s">
        <v>243</v>
      </c>
      <c r="E56">
        <v>548</v>
      </c>
      <c r="F56" t="s">
        <v>9</v>
      </c>
      <c r="G56" t="s">
        <v>3</v>
      </c>
      <c r="H56" s="1">
        <v>100</v>
      </c>
      <c r="I56" s="1">
        <v>1715</v>
      </c>
      <c r="J56" s="2">
        <v>4591</v>
      </c>
      <c r="K56" s="1">
        <v>17.149999999999999</v>
      </c>
      <c r="L56" s="1">
        <v>2.6769679300291545</v>
      </c>
      <c r="M56" s="1">
        <v>45.91</v>
      </c>
      <c r="N5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57" spans="1:14" x14ac:dyDescent="0.3">
      <c r="A57">
        <v>2022</v>
      </c>
      <c r="B57" t="s">
        <v>14</v>
      </c>
      <c r="C57">
        <v>21</v>
      </c>
      <c r="D57" t="s">
        <v>244</v>
      </c>
      <c r="E57">
        <v>344</v>
      </c>
      <c r="F57" t="s">
        <v>6</v>
      </c>
      <c r="G57" t="s">
        <v>3</v>
      </c>
      <c r="H57" s="1">
        <v>74</v>
      </c>
      <c r="I57" s="1">
        <v>975</v>
      </c>
      <c r="J57" s="2">
        <v>8351</v>
      </c>
      <c r="K57" s="1">
        <v>13.175675675675675</v>
      </c>
      <c r="L57" s="1">
        <v>8.5651282051282056</v>
      </c>
      <c r="M57" s="1">
        <v>112.85135135135135</v>
      </c>
      <c r="N5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58" spans="1:14" x14ac:dyDescent="0.3">
      <c r="A58">
        <v>2022</v>
      </c>
      <c r="B58" t="s">
        <v>28</v>
      </c>
      <c r="C58">
        <v>36</v>
      </c>
      <c r="D58" t="s">
        <v>246</v>
      </c>
      <c r="E58">
        <v>681</v>
      </c>
      <c r="F58" t="s">
        <v>9</v>
      </c>
      <c r="G58" t="s">
        <v>27</v>
      </c>
      <c r="H58" s="1">
        <v>27</v>
      </c>
      <c r="I58" s="1">
        <v>366</v>
      </c>
      <c r="J58" s="2">
        <v>1463</v>
      </c>
      <c r="K58" s="1">
        <v>13.555555555555555</v>
      </c>
      <c r="L58" s="1">
        <v>3.9972677595628414</v>
      </c>
      <c r="M58" s="1">
        <v>54.185185185185183</v>
      </c>
      <c r="N5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59" spans="1:14" x14ac:dyDescent="0.3">
      <c r="A59">
        <v>2022</v>
      </c>
      <c r="B59" t="s">
        <v>136</v>
      </c>
      <c r="C59">
        <v>15</v>
      </c>
      <c r="D59" t="s">
        <v>256</v>
      </c>
      <c r="E59">
        <v>267</v>
      </c>
      <c r="F59" t="s">
        <v>12</v>
      </c>
      <c r="G59" t="s">
        <v>3</v>
      </c>
      <c r="H59" s="1">
        <v>0</v>
      </c>
      <c r="I59" s="1">
        <v>0</v>
      </c>
      <c r="J59" s="2">
        <v>0</v>
      </c>
      <c r="K59" s="1">
        <v>0</v>
      </c>
      <c r="L59" s="1">
        <v>0</v>
      </c>
      <c r="M59" s="1">
        <v>0</v>
      </c>
      <c r="N5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60" spans="1:14" x14ac:dyDescent="0.3">
      <c r="A60">
        <v>2022</v>
      </c>
      <c r="B60" t="s">
        <v>44</v>
      </c>
      <c r="C60">
        <v>3</v>
      </c>
      <c r="D60" t="s">
        <v>258</v>
      </c>
      <c r="E60">
        <v>41</v>
      </c>
      <c r="F60" t="s">
        <v>20</v>
      </c>
      <c r="G60" t="s">
        <v>13</v>
      </c>
      <c r="H60" s="1">
        <v>0</v>
      </c>
      <c r="I60" s="1">
        <v>0</v>
      </c>
      <c r="J60" s="2">
        <v>0</v>
      </c>
      <c r="K60" s="1">
        <v>0</v>
      </c>
      <c r="L60" s="1">
        <v>0</v>
      </c>
      <c r="M60" s="1">
        <v>0</v>
      </c>
      <c r="N6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61" spans="1:14" x14ac:dyDescent="0.3">
      <c r="A61">
        <v>2022</v>
      </c>
      <c r="B61" t="s">
        <v>38</v>
      </c>
      <c r="C61">
        <v>23</v>
      </c>
      <c r="D61" t="s">
        <v>262</v>
      </c>
      <c r="E61">
        <v>722</v>
      </c>
      <c r="F61" t="s">
        <v>2</v>
      </c>
      <c r="G61" t="s">
        <v>13</v>
      </c>
      <c r="H61" s="1">
        <v>0</v>
      </c>
      <c r="I61" s="1">
        <v>0</v>
      </c>
      <c r="J61" s="2">
        <v>0</v>
      </c>
      <c r="K61" s="1">
        <v>0</v>
      </c>
      <c r="L61" s="1">
        <v>0</v>
      </c>
      <c r="M61" s="1">
        <v>0</v>
      </c>
      <c r="N6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62" spans="1:14" x14ac:dyDescent="0.3">
      <c r="A62">
        <v>2022</v>
      </c>
      <c r="B62" t="s">
        <v>0</v>
      </c>
      <c r="C62">
        <v>9</v>
      </c>
      <c r="D62" t="s">
        <v>264</v>
      </c>
      <c r="E62">
        <v>152</v>
      </c>
      <c r="F62" t="s">
        <v>2</v>
      </c>
      <c r="G62" t="s">
        <v>27</v>
      </c>
      <c r="H62" s="1">
        <v>48</v>
      </c>
      <c r="I62" s="1">
        <v>776</v>
      </c>
      <c r="J62" s="2">
        <v>5306</v>
      </c>
      <c r="K62" s="1">
        <v>16.166666666666668</v>
      </c>
      <c r="L62" s="1">
        <v>6.8376288659793811</v>
      </c>
      <c r="M62" s="1">
        <v>110.54166666666667</v>
      </c>
      <c r="N6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63" spans="1:14" x14ac:dyDescent="0.3">
      <c r="A63">
        <v>2022</v>
      </c>
      <c r="B63" t="s">
        <v>28</v>
      </c>
      <c r="C63">
        <v>36</v>
      </c>
      <c r="D63" t="s">
        <v>140</v>
      </c>
      <c r="E63">
        <v>509</v>
      </c>
      <c r="F63" t="s">
        <v>9</v>
      </c>
      <c r="G63" t="s">
        <v>27</v>
      </c>
      <c r="H63" s="1">
        <v>0</v>
      </c>
      <c r="I63" s="1">
        <v>0</v>
      </c>
      <c r="J63" s="2">
        <v>0</v>
      </c>
      <c r="K63" s="1">
        <v>0</v>
      </c>
      <c r="L63" s="1">
        <v>0</v>
      </c>
      <c r="M63" s="1">
        <v>0</v>
      </c>
      <c r="N6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64" spans="1:14" x14ac:dyDescent="0.3">
      <c r="A64">
        <v>2022</v>
      </c>
      <c r="B64" t="s">
        <v>274</v>
      </c>
      <c r="C64">
        <v>35</v>
      </c>
      <c r="D64" t="s">
        <v>275</v>
      </c>
      <c r="E64">
        <v>602</v>
      </c>
      <c r="F64" t="s">
        <v>6</v>
      </c>
      <c r="G64" t="s">
        <v>3</v>
      </c>
      <c r="H64" s="1">
        <v>10</v>
      </c>
      <c r="I64" s="1">
        <v>64</v>
      </c>
      <c r="J64" s="2">
        <v>463</v>
      </c>
      <c r="K64" s="1">
        <v>6.4</v>
      </c>
      <c r="L64" s="1">
        <v>7.234375</v>
      </c>
      <c r="M64" s="1">
        <v>46.3</v>
      </c>
      <c r="N6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65" spans="1:14" x14ac:dyDescent="0.3">
      <c r="A65">
        <v>2022</v>
      </c>
      <c r="B65" t="s">
        <v>23</v>
      </c>
      <c r="C65">
        <v>24</v>
      </c>
      <c r="D65" t="s">
        <v>229</v>
      </c>
      <c r="E65">
        <v>461</v>
      </c>
      <c r="F65" t="s">
        <v>25</v>
      </c>
      <c r="G65" t="s">
        <v>17</v>
      </c>
      <c r="H65" s="1">
        <v>517</v>
      </c>
      <c r="I65" s="1">
        <v>6308</v>
      </c>
      <c r="J65" s="2">
        <v>106894</v>
      </c>
      <c r="K65" s="1">
        <v>12.201160541586074</v>
      </c>
      <c r="L65" s="1">
        <v>16.945783132530121</v>
      </c>
      <c r="M65" s="1">
        <v>206.75822050290137</v>
      </c>
      <c r="N6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66" spans="1:14" x14ac:dyDescent="0.3">
      <c r="A66">
        <v>2022</v>
      </c>
      <c r="B66" t="s">
        <v>77</v>
      </c>
      <c r="C66">
        <v>8</v>
      </c>
      <c r="D66" t="s">
        <v>279</v>
      </c>
      <c r="E66">
        <v>115</v>
      </c>
      <c r="F66" t="s">
        <v>20</v>
      </c>
      <c r="G66" t="s">
        <v>3</v>
      </c>
      <c r="H66" s="1">
        <v>68</v>
      </c>
      <c r="I66" s="1">
        <v>940</v>
      </c>
      <c r="J66" s="2">
        <v>5005</v>
      </c>
      <c r="K66" s="1">
        <v>13.823529411764707</v>
      </c>
      <c r="L66" s="1">
        <v>5.3244680851063828</v>
      </c>
      <c r="M66" s="1">
        <v>73.602941176470594</v>
      </c>
      <c r="N6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67" spans="1:14" x14ac:dyDescent="0.3">
      <c r="A67">
        <v>2022</v>
      </c>
      <c r="B67" t="s">
        <v>28</v>
      </c>
      <c r="C67">
        <v>36</v>
      </c>
      <c r="D67" t="s">
        <v>29</v>
      </c>
      <c r="E67">
        <v>522</v>
      </c>
      <c r="F67" t="s">
        <v>9</v>
      </c>
      <c r="G67" t="s">
        <v>13</v>
      </c>
      <c r="H67" s="1">
        <v>0</v>
      </c>
      <c r="I67" s="1">
        <v>0</v>
      </c>
      <c r="J67" s="2">
        <v>0</v>
      </c>
      <c r="K67" s="1">
        <v>0</v>
      </c>
      <c r="L67" s="1">
        <v>0</v>
      </c>
      <c r="M67" s="1">
        <v>0</v>
      </c>
      <c r="N6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68" spans="1:14" x14ac:dyDescent="0.3">
      <c r="A68">
        <v>2022</v>
      </c>
      <c r="B68" t="s">
        <v>58</v>
      </c>
      <c r="C68">
        <v>28</v>
      </c>
      <c r="D68" t="s">
        <v>290</v>
      </c>
      <c r="E68">
        <v>502</v>
      </c>
      <c r="F68" t="s">
        <v>9</v>
      </c>
      <c r="G68" t="s">
        <v>3</v>
      </c>
      <c r="H68" s="1">
        <v>124</v>
      </c>
      <c r="I68" s="1">
        <v>2549</v>
      </c>
      <c r="J68" s="2">
        <v>6301</v>
      </c>
      <c r="K68" s="1">
        <v>20.556451612903224</v>
      </c>
      <c r="L68" s="1">
        <v>2.4719497842291096</v>
      </c>
      <c r="M68" s="1">
        <v>50.814516129032256</v>
      </c>
      <c r="N6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69" spans="1:14" x14ac:dyDescent="0.3">
      <c r="A69">
        <v>2022</v>
      </c>
      <c r="B69" t="s">
        <v>7</v>
      </c>
      <c r="C69">
        <v>33</v>
      </c>
      <c r="D69" t="s">
        <v>291</v>
      </c>
      <c r="E69">
        <v>595</v>
      </c>
      <c r="F69" t="s">
        <v>9</v>
      </c>
      <c r="G69" t="s">
        <v>13</v>
      </c>
      <c r="H69" s="1">
        <v>62</v>
      </c>
      <c r="I69" s="1">
        <v>896</v>
      </c>
      <c r="J69" s="2">
        <v>1697</v>
      </c>
      <c r="K69" s="1">
        <v>14.451612903225806</v>
      </c>
      <c r="L69" s="1">
        <v>1.8939732142857142</v>
      </c>
      <c r="M69" s="1">
        <v>27.370967741935484</v>
      </c>
      <c r="N6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70" spans="1:14" x14ac:dyDescent="0.3">
      <c r="A70">
        <v>2022</v>
      </c>
      <c r="B70" t="s">
        <v>21</v>
      </c>
      <c r="C70">
        <v>19</v>
      </c>
      <c r="D70" t="s">
        <v>288</v>
      </c>
      <c r="E70">
        <v>320</v>
      </c>
      <c r="F70" t="s">
        <v>6</v>
      </c>
      <c r="G70" t="s">
        <v>27</v>
      </c>
      <c r="H70" s="1">
        <v>0</v>
      </c>
      <c r="I70" s="1">
        <v>0</v>
      </c>
      <c r="J70" s="2">
        <v>0</v>
      </c>
      <c r="K70" s="1">
        <v>0</v>
      </c>
      <c r="L70" s="1">
        <v>0</v>
      </c>
      <c r="M70" s="1">
        <v>0</v>
      </c>
      <c r="N7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71" spans="1:14" x14ac:dyDescent="0.3">
      <c r="A71">
        <v>2022</v>
      </c>
      <c r="B71" t="s">
        <v>41</v>
      </c>
      <c r="C71">
        <v>29</v>
      </c>
      <c r="D71" t="s">
        <v>42</v>
      </c>
      <c r="E71">
        <v>543</v>
      </c>
      <c r="F71" t="s">
        <v>9</v>
      </c>
      <c r="G71" t="s">
        <v>27</v>
      </c>
      <c r="H71" s="1">
        <v>0</v>
      </c>
      <c r="I71" s="1">
        <v>0</v>
      </c>
      <c r="J71" s="2">
        <v>0</v>
      </c>
      <c r="K71" s="1">
        <v>0</v>
      </c>
      <c r="L71" s="1">
        <v>0</v>
      </c>
      <c r="M71" s="1">
        <v>0</v>
      </c>
      <c r="N7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72" spans="1:14" x14ac:dyDescent="0.3">
      <c r="A72">
        <v>2022</v>
      </c>
      <c r="B72" t="s">
        <v>30</v>
      </c>
      <c r="C72">
        <v>32</v>
      </c>
      <c r="D72" t="s">
        <v>302</v>
      </c>
      <c r="E72">
        <v>562</v>
      </c>
      <c r="F72" t="s">
        <v>9</v>
      </c>
      <c r="G72" t="s">
        <v>27</v>
      </c>
      <c r="H72" s="1">
        <v>0</v>
      </c>
      <c r="I72" s="1">
        <v>0</v>
      </c>
      <c r="J72" s="2">
        <v>0</v>
      </c>
      <c r="K72" s="1">
        <v>0</v>
      </c>
      <c r="L72" s="1">
        <v>0</v>
      </c>
      <c r="M72" s="1">
        <v>0</v>
      </c>
      <c r="N7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73" spans="1:14" x14ac:dyDescent="0.3">
      <c r="A73">
        <v>2022</v>
      </c>
      <c r="B73" t="s">
        <v>21</v>
      </c>
      <c r="C73">
        <v>19</v>
      </c>
      <c r="D73" t="s">
        <v>128</v>
      </c>
      <c r="E73">
        <v>664</v>
      </c>
      <c r="F73" t="s">
        <v>6</v>
      </c>
      <c r="G73" t="s">
        <v>3</v>
      </c>
      <c r="H73" s="1">
        <v>51</v>
      </c>
      <c r="I73" s="1">
        <v>1087</v>
      </c>
      <c r="J73" s="2">
        <v>2952</v>
      </c>
      <c r="K73" s="1">
        <v>21.313725490196077</v>
      </c>
      <c r="L73" s="1">
        <v>2.71573137074517</v>
      </c>
      <c r="M73" s="1">
        <v>57.882352941176471</v>
      </c>
      <c r="N7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74" spans="1:14" x14ac:dyDescent="0.3">
      <c r="A74">
        <v>2022</v>
      </c>
      <c r="B74" t="s">
        <v>14</v>
      </c>
      <c r="C74">
        <v>21</v>
      </c>
      <c r="D74" t="s">
        <v>100</v>
      </c>
      <c r="E74">
        <v>354</v>
      </c>
      <c r="F74" t="s">
        <v>6</v>
      </c>
      <c r="G74" t="s">
        <v>27</v>
      </c>
      <c r="H74" s="1">
        <v>107</v>
      </c>
      <c r="I74" s="1">
        <v>1146</v>
      </c>
      <c r="J74" s="2">
        <v>10771</v>
      </c>
      <c r="K74" s="1">
        <v>10.710280373831775</v>
      </c>
      <c r="L74" s="1">
        <v>9.3987783595113434</v>
      </c>
      <c r="M74" s="1">
        <v>100.66355140186916</v>
      </c>
      <c r="N7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75" spans="1:14" x14ac:dyDescent="0.3">
      <c r="A75">
        <v>2022</v>
      </c>
      <c r="B75" t="s">
        <v>60</v>
      </c>
      <c r="C75">
        <v>6</v>
      </c>
      <c r="D75" t="s">
        <v>308</v>
      </c>
      <c r="E75">
        <v>60</v>
      </c>
      <c r="F75" t="s">
        <v>20</v>
      </c>
      <c r="G75" t="s">
        <v>13</v>
      </c>
      <c r="H75" s="1">
        <v>41</v>
      </c>
      <c r="I75" s="1">
        <v>412</v>
      </c>
      <c r="J75" s="2">
        <v>1948</v>
      </c>
      <c r="K75" s="1">
        <v>10.048780487804878</v>
      </c>
      <c r="L75" s="1">
        <v>4.7281553398058254</v>
      </c>
      <c r="M75" s="1">
        <v>47.512195121951223</v>
      </c>
      <c r="N7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76" spans="1:14" x14ac:dyDescent="0.3">
      <c r="A76">
        <v>2022</v>
      </c>
      <c r="B76" t="s">
        <v>28</v>
      </c>
      <c r="C76">
        <v>36</v>
      </c>
      <c r="D76" t="s">
        <v>130</v>
      </c>
      <c r="E76">
        <v>720</v>
      </c>
      <c r="F76" t="s">
        <v>9</v>
      </c>
      <c r="G76" t="s">
        <v>13</v>
      </c>
      <c r="H76" s="1">
        <v>0</v>
      </c>
      <c r="I76" s="1">
        <v>0</v>
      </c>
      <c r="J76" s="2">
        <v>0</v>
      </c>
      <c r="K76" s="1">
        <v>0</v>
      </c>
      <c r="L76" s="1">
        <v>0</v>
      </c>
      <c r="M76" s="1">
        <v>0</v>
      </c>
      <c r="N7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77" spans="1:14" x14ac:dyDescent="0.3">
      <c r="A77">
        <v>2022</v>
      </c>
      <c r="B77" t="s">
        <v>4</v>
      </c>
      <c r="C77">
        <v>10</v>
      </c>
      <c r="D77" t="s">
        <v>237</v>
      </c>
      <c r="E77">
        <v>209</v>
      </c>
      <c r="F77" t="s">
        <v>6</v>
      </c>
      <c r="G77" t="s">
        <v>3</v>
      </c>
      <c r="H77" s="1">
        <v>60</v>
      </c>
      <c r="I77" s="1">
        <v>1191</v>
      </c>
      <c r="J77" s="2">
        <v>3210</v>
      </c>
      <c r="K77" s="1">
        <v>19.850000000000001</v>
      </c>
      <c r="L77" s="1">
        <v>2.6952141057934509</v>
      </c>
      <c r="M77" s="1">
        <v>53.5</v>
      </c>
      <c r="N7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78" spans="1:14" x14ac:dyDescent="0.3">
      <c r="A78">
        <v>2022</v>
      </c>
      <c r="B78" t="s">
        <v>10</v>
      </c>
      <c r="C78">
        <v>18</v>
      </c>
      <c r="D78" t="s">
        <v>314</v>
      </c>
      <c r="E78">
        <v>293</v>
      </c>
      <c r="F78" t="s">
        <v>12</v>
      </c>
      <c r="G78" t="s">
        <v>13</v>
      </c>
      <c r="H78" s="1">
        <v>53</v>
      </c>
      <c r="I78" s="1">
        <v>1211</v>
      </c>
      <c r="J78" s="2">
        <v>1373</v>
      </c>
      <c r="K78" s="1">
        <v>22.849056603773583</v>
      </c>
      <c r="L78" s="1">
        <v>1.1337737407101569</v>
      </c>
      <c r="M78" s="1">
        <v>25.90566037735849</v>
      </c>
      <c r="N7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79" spans="1:14" x14ac:dyDescent="0.3">
      <c r="A79">
        <v>2022</v>
      </c>
      <c r="B79" t="s">
        <v>4</v>
      </c>
      <c r="C79">
        <v>10</v>
      </c>
      <c r="D79" t="s">
        <v>318</v>
      </c>
      <c r="E79">
        <v>207</v>
      </c>
      <c r="F79" t="s">
        <v>6</v>
      </c>
      <c r="G79" t="s">
        <v>13</v>
      </c>
      <c r="H79" s="1">
        <v>60</v>
      </c>
      <c r="I79" s="1">
        <v>960</v>
      </c>
      <c r="J79" s="2">
        <v>1962</v>
      </c>
      <c r="K79" s="1">
        <v>16</v>
      </c>
      <c r="L79" s="1">
        <v>2.0437500000000002</v>
      </c>
      <c r="M79" s="1">
        <v>32.700000000000003</v>
      </c>
      <c r="N7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80" spans="1:14" x14ac:dyDescent="0.3">
      <c r="A80">
        <v>2022</v>
      </c>
      <c r="B80" t="s">
        <v>28</v>
      </c>
      <c r="C80">
        <v>36</v>
      </c>
      <c r="D80" t="s">
        <v>55</v>
      </c>
      <c r="E80">
        <v>685</v>
      </c>
      <c r="F80" t="s">
        <v>9</v>
      </c>
      <c r="G80" t="s">
        <v>3</v>
      </c>
      <c r="H80" s="1">
        <v>49</v>
      </c>
      <c r="I80" s="1">
        <v>712</v>
      </c>
      <c r="J80" s="2">
        <v>2043</v>
      </c>
      <c r="K80" s="1">
        <v>14.530612244897959</v>
      </c>
      <c r="L80" s="1">
        <v>2.86938202247191</v>
      </c>
      <c r="M80" s="1">
        <v>41.693877551020407</v>
      </c>
      <c r="N8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81" spans="1:14" x14ac:dyDescent="0.3">
      <c r="A81">
        <v>2022</v>
      </c>
      <c r="B81" t="s">
        <v>7</v>
      </c>
      <c r="C81">
        <v>33</v>
      </c>
      <c r="D81" t="s">
        <v>330</v>
      </c>
      <c r="E81">
        <v>732</v>
      </c>
      <c r="F81" t="s">
        <v>9</v>
      </c>
      <c r="G81" t="s">
        <v>3</v>
      </c>
      <c r="H81" s="1">
        <v>58</v>
      </c>
      <c r="I81" s="1">
        <v>1008</v>
      </c>
      <c r="J81" s="2">
        <v>2676</v>
      </c>
      <c r="K81" s="1">
        <v>17.379310344827587</v>
      </c>
      <c r="L81" s="1">
        <v>2.6547619047619047</v>
      </c>
      <c r="M81" s="1">
        <v>46.137931034482762</v>
      </c>
      <c r="N8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82" spans="1:14" x14ac:dyDescent="0.3">
      <c r="A82">
        <v>2022</v>
      </c>
      <c r="B82" t="s">
        <v>14</v>
      </c>
      <c r="C82">
        <v>21</v>
      </c>
      <c r="D82" t="s">
        <v>331</v>
      </c>
      <c r="E82">
        <v>351</v>
      </c>
      <c r="F82" t="s">
        <v>6</v>
      </c>
      <c r="G82" t="s">
        <v>3</v>
      </c>
      <c r="H82" s="1">
        <v>18</v>
      </c>
      <c r="I82" s="1">
        <v>187</v>
      </c>
      <c r="J82" s="2">
        <v>783</v>
      </c>
      <c r="K82" s="1">
        <v>10.388888888888889</v>
      </c>
      <c r="L82" s="1">
        <v>4.1871657754010698</v>
      </c>
      <c r="M82" s="1">
        <v>43.5</v>
      </c>
      <c r="N8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83" spans="1:14" x14ac:dyDescent="0.3">
      <c r="A83">
        <v>2022</v>
      </c>
      <c r="B83" t="s">
        <v>65</v>
      </c>
      <c r="C83">
        <v>22</v>
      </c>
      <c r="D83" t="s">
        <v>334</v>
      </c>
      <c r="E83">
        <v>648</v>
      </c>
      <c r="F83" t="s">
        <v>2</v>
      </c>
      <c r="G83" t="s">
        <v>3</v>
      </c>
      <c r="H83" s="1">
        <v>0</v>
      </c>
      <c r="I83" s="1">
        <v>0</v>
      </c>
      <c r="J83" s="2">
        <v>0</v>
      </c>
      <c r="K83" s="1">
        <v>0</v>
      </c>
      <c r="L83" s="1">
        <v>0</v>
      </c>
      <c r="M83" s="1">
        <v>0</v>
      </c>
      <c r="N8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4" spans="1:14" x14ac:dyDescent="0.3">
      <c r="A84">
        <v>2022</v>
      </c>
      <c r="B84" t="s">
        <v>38</v>
      </c>
      <c r="C84">
        <v>23</v>
      </c>
      <c r="D84" t="s">
        <v>335</v>
      </c>
      <c r="E84">
        <v>392</v>
      </c>
      <c r="F84" t="s">
        <v>2</v>
      </c>
      <c r="G84" t="s">
        <v>13</v>
      </c>
      <c r="H84" s="1">
        <v>0</v>
      </c>
      <c r="I84" s="1">
        <v>0</v>
      </c>
      <c r="J84" s="2">
        <v>0</v>
      </c>
      <c r="K84" s="1">
        <v>0</v>
      </c>
      <c r="L84" s="1">
        <v>0</v>
      </c>
      <c r="M84" s="1">
        <v>0</v>
      </c>
      <c r="N8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5" spans="1:14" x14ac:dyDescent="0.3">
      <c r="A85">
        <v>2022</v>
      </c>
      <c r="B85" t="s">
        <v>4</v>
      </c>
      <c r="C85">
        <v>10</v>
      </c>
      <c r="D85" t="s">
        <v>340</v>
      </c>
      <c r="E85">
        <v>210</v>
      </c>
      <c r="F85" t="s">
        <v>6</v>
      </c>
      <c r="G85" t="s">
        <v>3</v>
      </c>
      <c r="H85" s="1">
        <v>0</v>
      </c>
      <c r="I85" s="1">
        <v>0</v>
      </c>
      <c r="J85" s="2">
        <v>0</v>
      </c>
      <c r="K85" s="1">
        <v>0</v>
      </c>
      <c r="L85" s="1">
        <v>0</v>
      </c>
      <c r="M85" s="1">
        <v>0</v>
      </c>
      <c r="N8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6" spans="1:14" x14ac:dyDescent="0.3">
      <c r="A86">
        <v>2022</v>
      </c>
      <c r="B86" t="s">
        <v>14</v>
      </c>
      <c r="C86">
        <v>21</v>
      </c>
      <c r="D86" t="s">
        <v>331</v>
      </c>
      <c r="E86">
        <v>351</v>
      </c>
      <c r="F86" t="s">
        <v>6</v>
      </c>
      <c r="G86" t="s">
        <v>13</v>
      </c>
      <c r="H86" s="1">
        <v>0</v>
      </c>
      <c r="I86" s="1">
        <v>0</v>
      </c>
      <c r="J86" s="2">
        <v>0</v>
      </c>
      <c r="K86" s="1">
        <v>0</v>
      </c>
      <c r="L86" s="1">
        <v>0</v>
      </c>
      <c r="M86" s="1">
        <v>0</v>
      </c>
      <c r="N8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7" spans="1:14" x14ac:dyDescent="0.3">
      <c r="A87">
        <v>2022</v>
      </c>
      <c r="B87" t="s">
        <v>53</v>
      </c>
      <c r="C87">
        <v>27</v>
      </c>
      <c r="D87" t="s">
        <v>315</v>
      </c>
      <c r="E87">
        <v>478</v>
      </c>
      <c r="F87" t="s">
        <v>25</v>
      </c>
      <c r="G87" t="s">
        <v>27</v>
      </c>
      <c r="H87" s="1">
        <v>0</v>
      </c>
      <c r="I87" s="1">
        <v>0</v>
      </c>
      <c r="J87" s="2">
        <v>0</v>
      </c>
      <c r="K87" s="1">
        <v>0</v>
      </c>
      <c r="L87" s="1">
        <v>0</v>
      </c>
      <c r="M87" s="1">
        <v>0</v>
      </c>
      <c r="N8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8" spans="1:14" x14ac:dyDescent="0.3">
      <c r="A88">
        <v>2022</v>
      </c>
      <c r="B88" t="s">
        <v>65</v>
      </c>
      <c r="C88">
        <v>22</v>
      </c>
      <c r="D88" t="s">
        <v>176</v>
      </c>
      <c r="E88">
        <v>647</v>
      </c>
      <c r="F88" t="s">
        <v>2</v>
      </c>
      <c r="G88" t="s">
        <v>13</v>
      </c>
      <c r="H88" s="1">
        <v>0</v>
      </c>
      <c r="I88" s="1">
        <v>0</v>
      </c>
      <c r="J88" s="2">
        <v>0</v>
      </c>
      <c r="K88" s="1">
        <v>0</v>
      </c>
      <c r="L88" s="1">
        <v>0</v>
      </c>
      <c r="M88" s="1">
        <v>0</v>
      </c>
      <c r="N8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89" spans="1:14" x14ac:dyDescent="0.3">
      <c r="A89">
        <v>2022</v>
      </c>
      <c r="B89" t="s">
        <v>65</v>
      </c>
      <c r="C89">
        <v>22</v>
      </c>
      <c r="D89" t="s">
        <v>341</v>
      </c>
      <c r="E89">
        <v>380</v>
      </c>
      <c r="F89" t="s">
        <v>2</v>
      </c>
      <c r="G89" t="s">
        <v>3</v>
      </c>
      <c r="H89" s="1">
        <v>41</v>
      </c>
      <c r="I89" s="1">
        <v>700</v>
      </c>
      <c r="J89" s="2">
        <v>2015</v>
      </c>
      <c r="K89" s="1">
        <v>17.073170731707318</v>
      </c>
      <c r="L89" s="1">
        <v>2.8785714285714286</v>
      </c>
      <c r="M89" s="1">
        <v>49.146341463414636</v>
      </c>
      <c r="N8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90" spans="1:14" x14ac:dyDescent="0.3">
      <c r="A90">
        <v>2022</v>
      </c>
      <c r="B90" t="s">
        <v>32</v>
      </c>
      <c r="C90">
        <v>14</v>
      </c>
      <c r="D90" t="s">
        <v>342</v>
      </c>
      <c r="E90">
        <v>255</v>
      </c>
      <c r="F90" t="s">
        <v>12</v>
      </c>
      <c r="G90" t="s">
        <v>27</v>
      </c>
      <c r="H90" s="1">
        <v>0</v>
      </c>
      <c r="I90" s="1">
        <v>0</v>
      </c>
      <c r="J90" s="2">
        <v>0</v>
      </c>
      <c r="K90" s="1">
        <v>0</v>
      </c>
      <c r="L90" s="1">
        <v>0</v>
      </c>
      <c r="M90" s="1">
        <v>0</v>
      </c>
      <c r="N9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91" spans="1:14" x14ac:dyDescent="0.3">
      <c r="A91">
        <v>2022</v>
      </c>
      <c r="B91" t="s">
        <v>74</v>
      </c>
      <c r="C91">
        <v>13</v>
      </c>
      <c r="D91" t="s">
        <v>336</v>
      </c>
      <c r="E91">
        <v>246</v>
      </c>
      <c r="F91" t="s">
        <v>12</v>
      </c>
      <c r="G91" t="s">
        <v>3</v>
      </c>
      <c r="H91" s="1">
        <v>0</v>
      </c>
      <c r="I91" s="1">
        <v>0</v>
      </c>
      <c r="J91" s="2">
        <v>0</v>
      </c>
      <c r="K91" s="1">
        <v>0</v>
      </c>
      <c r="L91" s="1">
        <v>0</v>
      </c>
      <c r="M91" s="1">
        <v>0</v>
      </c>
      <c r="N9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92" spans="1:14" x14ac:dyDescent="0.3">
      <c r="A92">
        <v>2022</v>
      </c>
      <c r="B92" t="s">
        <v>7</v>
      </c>
      <c r="C92">
        <v>33</v>
      </c>
      <c r="D92" t="s">
        <v>333</v>
      </c>
      <c r="E92">
        <v>593</v>
      </c>
      <c r="F92" t="s">
        <v>9</v>
      </c>
      <c r="G92" t="s">
        <v>27</v>
      </c>
      <c r="H92" s="1">
        <v>43</v>
      </c>
      <c r="I92" s="1">
        <v>659</v>
      </c>
      <c r="J92" s="2">
        <v>2791</v>
      </c>
      <c r="K92" s="1">
        <v>15.325581395348838</v>
      </c>
      <c r="L92" s="1">
        <v>4.2352048558421851</v>
      </c>
      <c r="M92" s="1">
        <v>64.906976744186053</v>
      </c>
      <c r="N9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93" spans="1:14" x14ac:dyDescent="0.3">
      <c r="A93">
        <v>2022</v>
      </c>
      <c r="B93" t="s">
        <v>21</v>
      </c>
      <c r="C93">
        <v>19</v>
      </c>
      <c r="D93" t="s">
        <v>95</v>
      </c>
      <c r="E93">
        <v>305</v>
      </c>
      <c r="F93" t="s">
        <v>6</v>
      </c>
      <c r="G93" t="s">
        <v>13</v>
      </c>
      <c r="H93" s="1">
        <v>0</v>
      </c>
      <c r="I93" s="1">
        <v>0</v>
      </c>
      <c r="J93" s="2">
        <v>0</v>
      </c>
      <c r="K93" s="1">
        <v>0</v>
      </c>
      <c r="L93" s="1">
        <v>0</v>
      </c>
      <c r="M93" s="1">
        <v>0</v>
      </c>
      <c r="N9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94" spans="1:14" x14ac:dyDescent="0.3">
      <c r="A94">
        <v>2022</v>
      </c>
      <c r="B94" t="s">
        <v>53</v>
      </c>
      <c r="C94">
        <v>27</v>
      </c>
      <c r="D94" t="s">
        <v>351</v>
      </c>
      <c r="E94">
        <v>486</v>
      </c>
      <c r="F94" t="s">
        <v>25</v>
      </c>
      <c r="G94" t="s">
        <v>3</v>
      </c>
      <c r="H94" s="1">
        <v>23</v>
      </c>
      <c r="I94" s="1">
        <v>737</v>
      </c>
      <c r="J94" s="2">
        <v>2036</v>
      </c>
      <c r="K94" s="1">
        <v>32.043478260869563</v>
      </c>
      <c r="L94" s="1">
        <v>2.7625508819538669</v>
      </c>
      <c r="M94" s="1">
        <v>88.521739130434781</v>
      </c>
      <c r="N9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95" spans="1:14" x14ac:dyDescent="0.3">
      <c r="A95">
        <v>2022</v>
      </c>
      <c r="B95" t="s">
        <v>7</v>
      </c>
      <c r="C95">
        <v>33</v>
      </c>
      <c r="D95" t="s">
        <v>291</v>
      </c>
      <c r="E95">
        <v>595</v>
      </c>
      <c r="F95" t="s">
        <v>9</v>
      </c>
      <c r="G95" t="s">
        <v>27</v>
      </c>
      <c r="H95" s="1">
        <v>77</v>
      </c>
      <c r="I95" s="1">
        <v>885</v>
      </c>
      <c r="J95" s="2">
        <v>8067</v>
      </c>
      <c r="K95" s="1">
        <v>11.493506493506494</v>
      </c>
      <c r="L95" s="1">
        <v>9.115254237288136</v>
      </c>
      <c r="M95" s="1">
        <v>104.76623376623377</v>
      </c>
      <c r="N9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96" spans="1:14" x14ac:dyDescent="0.3">
      <c r="A96">
        <v>2022</v>
      </c>
      <c r="B96" t="s">
        <v>30</v>
      </c>
      <c r="C96">
        <v>32</v>
      </c>
      <c r="D96" t="s">
        <v>46</v>
      </c>
      <c r="E96">
        <v>563</v>
      </c>
      <c r="F96" t="s">
        <v>9</v>
      </c>
      <c r="G96" t="s">
        <v>13</v>
      </c>
      <c r="H96" s="1">
        <v>35</v>
      </c>
      <c r="I96" s="1">
        <v>303</v>
      </c>
      <c r="J96" s="2">
        <v>1042</v>
      </c>
      <c r="K96" s="1">
        <v>8.6571428571428566</v>
      </c>
      <c r="L96" s="1">
        <v>3.438943894389439</v>
      </c>
      <c r="M96" s="1">
        <v>29.771428571428572</v>
      </c>
      <c r="N9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97" spans="1:14" x14ac:dyDescent="0.3">
      <c r="A97">
        <v>2022</v>
      </c>
      <c r="B97" t="s">
        <v>7</v>
      </c>
      <c r="C97">
        <v>33</v>
      </c>
      <c r="D97" t="s">
        <v>72</v>
      </c>
      <c r="E97">
        <v>569</v>
      </c>
      <c r="F97" t="s">
        <v>9</v>
      </c>
      <c r="G97" t="s">
        <v>17</v>
      </c>
      <c r="H97" s="1">
        <v>509</v>
      </c>
      <c r="I97" s="1">
        <v>4980</v>
      </c>
      <c r="J97" s="2">
        <v>62046</v>
      </c>
      <c r="K97" s="1">
        <v>9.783889980353635</v>
      </c>
      <c r="L97" s="1">
        <v>12.459036144578313</v>
      </c>
      <c r="M97" s="1">
        <v>121.89783889980353</v>
      </c>
      <c r="N9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98" spans="1:14" x14ac:dyDescent="0.3">
      <c r="A98">
        <v>2022</v>
      </c>
      <c r="B98" t="s">
        <v>7</v>
      </c>
      <c r="C98">
        <v>33</v>
      </c>
      <c r="D98" t="s">
        <v>184</v>
      </c>
      <c r="E98">
        <v>596</v>
      </c>
      <c r="F98" t="s">
        <v>9</v>
      </c>
      <c r="G98" t="s">
        <v>13</v>
      </c>
      <c r="H98" s="1">
        <v>0</v>
      </c>
      <c r="I98" s="1">
        <v>0</v>
      </c>
      <c r="J98" s="2">
        <v>0</v>
      </c>
      <c r="K98" s="1">
        <v>0</v>
      </c>
      <c r="L98" s="1">
        <v>0</v>
      </c>
      <c r="M98" s="1">
        <v>0</v>
      </c>
      <c r="N9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99" spans="1:14" x14ac:dyDescent="0.3">
      <c r="A99">
        <v>2022</v>
      </c>
      <c r="B99" t="s">
        <v>28</v>
      </c>
      <c r="C99">
        <v>36</v>
      </c>
      <c r="D99" t="s">
        <v>355</v>
      </c>
      <c r="E99">
        <v>698</v>
      </c>
      <c r="F99" t="s">
        <v>9</v>
      </c>
      <c r="G99" t="s">
        <v>13</v>
      </c>
      <c r="H99" s="1">
        <v>0</v>
      </c>
      <c r="I99" s="1">
        <v>0</v>
      </c>
      <c r="J99" s="2">
        <v>0</v>
      </c>
      <c r="K99" s="1">
        <v>0</v>
      </c>
      <c r="L99" s="1">
        <v>0</v>
      </c>
      <c r="M99" s="1">
        <v>0</v>
      </c>
      <c r="N9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0" spans="1:14" x14ac:dyDescent="0.3">
      <c r="A100">
        <v>2022</v>
      </c>
      <c r="B100" t="s">
        <v>60</v>
      </c>
      <c r="C100">
        <v>6</v>
      </c>
      <c r="D100" t="s">
        <v>356</v>
      </c>
      <c r="E100">
        <v>62</v>
      </c>
      <c r="F100" t="s">
        <v>20</v>
      </c>
      <c r="G100" t="s">
        <v>3</v>
      </c>
      <c r="H100" s="1">
        <v>103</v>
      </c>
      <c r="I100" s="1">
        <v>1365</v>
      </c>
      <c r="J100" s="2">
        <v>13049</v>
      </c>
      <c r="K100" s="1">
        <v>13.25242718446602</v>
      </c>
      <c r="L100" s="1">
        <v>9.5597069597069595</v>
      </c>
      <c r="M100" s="1">
        <v>126.68932038834951</v>
      </c>
      <c r="N10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01" spans="1:14" x14ac:dyDescent="0.3">
      <c r="A101">
        <v>2022</v>
      </c>
      <c r="B101" t="s">
        <v>4</v>
      </c>
      <c r="C101">
        <v>10</v>
      </c>
      <c r="D101" t="s">
        <v>358</v>
      </c>
      <c r="E101">
        <v>194</v>
      </c>
      <c r="F101" t="s">
        <v>6</v>
      </c>
      <c r="G101" t="s">
        <v>27</v>
      </c>
      <c r="H101" s="1">
        <v>0</v>
      </c>
      <c r="I101" s="1">
        <v>0</v>
      </c>
      <c r="J101" s="2">
        <v>0</v>
      </c>
      <c r="K101" s="1">
        <v>0</v>
      </c>
      <c r="L101" s="1">
        <v>0</v>
      </c>
      <c r="M101" s="1">
        <v>0</v>
      </c>
      <c r="N10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2" spans="1:14" x14ac:dyDescent="0.3">
      <c r="A102">
        <v>2022</v>
      </c>
      <c r="B102" t="s">
        <v>14</v>
      </c>
      <c r="C102">
        <v>21</v>
      </c>
      <c r="D102" t="s">
        <v>219</v>
      </c>
      <c r="E102">
        <v>345</v>
      </c>
      <c r="F102" t="s">
        <v>6</v>
      </c>
      <c r="G102" t="s">
        <v>13</v>
      </c>
      <c r="H102" s="1">
        <v>0</v>
      </c>
      <c r="I102" s="1">
        <v>0</v>
      </c>
      <c r="J102" s="2">
        <v>0</v>
      </c>
      <c r="K102" s="1">
        <v>0</v>
      </c>
      <c r="L102" s="1">
        <v>0</v>
      </c>
      <c r="M102" s="1">
        <v>0</v>
      </c>
      <c r="N10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3" spans="1:14" x14ac:dyDescent="0.3">
      <c r="A103">
        <v>2022</v>
      </c>
      <c r="B103" t="s">
        <v>7</v>
      </c>
      <c r="C103">
        <v>33</v>
      </c>
      <c r="D103" t="s">
        <v>361</v>
      </c>
      <c r="E103">
        <v>592</v>
      </c>
      <c r="F103" t="s">
        <v>9</v>
      </c>
      <c r="G103" t="s">
        <v>3</v>
      </c>
      <c r="H103" s="1">
        <v>0</v>
      </c>
      <c r="I103" s="1">
        <v>0</v>
      </c>
      <c r="J103" s="2">
        <v>0</v>
      </c>
      <c r="K103" s="1">
        <v>0</v>
      </c>
      <c r="L103" s="1">
        <v>0</v>
      </c>
      <c r="M103" s="1">
        <v>0</v>
      </c>
      <c r="N10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4" spans="1:14" x14ac:dyDescent="0.3">
      <c r="A104">
        <v>2022</v>
      </c>
      <c r="B104" t="s">
        <v>65</v>
      </c>
      <c r="C104">
        <v>22</v>
      </c>
      <c r="D104" t="s">
        <v>273</v>
      </c>
      <c r="E104">
        <v>734</v>
      </c>
      <c r="F104" t="s">
        <v>2</v>
      </c>
      <c r="G104" t="s">
        <v>13</v>
      </c>
      <c r="H104" s="1">
        <v>7</v>
      </c>
      <c r="I104" s="1">
        <v>196</v>
      </c>
      <c r="J104" s="2">
        <v>253</v>
      </c>
      <c r="K104" s="1">
        <v>28</v>
      </c>
      <c r="L104" s="1">
        <v>1.2908163265306123</v>
      </c>
      <c r="M104" s="1">
        <v>36.142857142857146</v>
      </c>
      <c r="N10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05" spans="1:14" x14ac:dyDescent="0.3">
      <c r="A105">
        <v>2022</v>
      </c>
      <c r="B105" t="s">
        <v>18</v>
      </c>
      <c r="C105">
        <v>7</v>
      </c>
      <c r="D105" t="s">
        <v>19</v>
      </c>
      <c r="E105">
        <v>82</v>
      </c>
      <c r="F105" t="s">
        <v>20</v>
      </c>
      <c r="G105" t="s">
        <v>27</v>
      </c>
      <c r="H105" s="1">
        <v>19</v>
      </c>
      <c r="I105" s="1">
        <v>380</v>
      </c>
      <c r="J105" s="2">
        <v>3612</v>
      </c>
      <c r="K105" s="1">
        <v>20</v>
      </c>
      <c r="L105" s="1">
        <v>9.5052631578947366</v>
      </c>
      <c r="M105" s="1">
        <v>190.10526315789474</v>
      </c>
      <c r="N10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06" spans="1:14" x14ac:dyDescent="0.3">
      <c r="A106">
        <v>2022</v>
      </c>
      <c r="B106" t="s">
        <v>70</v>
      </c>
      <c r="C106">
        <v>1</v>
      </c>
      <c r="D106" t="s">
        <v>366</v>
      </c>
      <c r="E106">
        <v>626</v>
      </c>
      <c r="F106" t="s">
        <v>20</v>
      </c>
      <c r="G106" t="s">
        <v>3</v>
      </c>
      <c r="H106" s="1">
        <v>0</v>
      </c>
      <c r="I106" s="1">
        <v>0</v>
      </c>
      <c r="J106" s="2">
        <v>0</v>
      </c>
      <c r="K106" s="1">
        <v>0</v>
      </c>
      <c r="L106" s="1">
        <v>0</v>
      </c>
      <c r="M106" s="1">
        <v>0</v>
      </c>
      <c r="N10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7" spans="1:14" x14ac:dyDescent="0.3">
      <c r="A107">
        <v>2022</v>
      </c>
      <c r="B107" t="s">
        <v>30</v>
      </c>
      <c r="C107">
        <v>32</v>
      </c>
      <c r="D107" t="s">
        <v>106</v>
      </c>
      <c r="E107">
        <v>565</v>
      </c>
      <c r="F107" t="s">
        <v>9</v>
      </c>
      <c r="G107" t="s">
        <v>27</v>
      </c>
      <c r="H107" s="1">
        <v>0</v>
      </c>
      <c r="I107" s="1">
        <v>0</v>
      </c>
      <c r="J107" s="2">
        <v>0</v>
      </c>
      <c r="K107" s="1">
        <v>0</v>
      </c>
      <c r="L107" s="1">
        <v>0</v>
      </c>
      <c r="M107" s="1">
        <v>0</v>
      </c>
      <c r="N10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8" spans="1:14" x14ac:dyDescent="0.3">
      <c r="A108">
        <v>2022</v>
      </c>
      <c r="B108" t="s">
        <v>60</v>
      </c>
      <c r="C108">
        <v>6</v>
      </c>
      <c r="D108" t="s">
        <v>368</v>
      </c>
      <c r="E108">
        <v>71</v>
      </c>
      <c r="F108" t="s">
        <v>20</v>
      </c>
      <c r="G108" t="s">
        <v>3</v>
      </c>
      <c r="H108" s="1">
        <v>0</v>
      </c>
      <c r="I108" s="1">
        <v>0</v>
      </c>
      <c r="J108" s="2">
        <v>0</v>
      </c>
      <c r="K108" s="1">
        <v>0</v>
      </c>
      <c r="L108" s="1">
        <v>0</v>
      </c>
      <c r="M108" s="1">
        <v>0</v>
      </c>
      <c r="N10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09" spans="1:14" x14ac:dyDescent="0.3">
      <c r="A109">
        <v>2022</v>
      </c>
      <c r="B109" t="s">
        <v>58</v>
      </c>
      <c r="C109">
        <v>28</v>
      </c>
      <c r="D109" t="s">
        <v>107</v>
      </c>
      <c r="E109">
        <v>510</v>
      </c>
      <c r="F109" t="s">
        <v>9</v>
      </c>
      <c r="G109" t="s">
        <v>3</v>
      </c>
      <c r="H109" s="1">
        <v>239</v>
      </c>
      <c r="I109" s="1">
        <v>2827</v>
      </c>
      <c r="J109" s="2">
        <v>10649</v>
      </c>
      <c r="K109" s="1">
        <v>11.828451882845188</v>
      </c>
      <c r="L109" s="1">
        <v>3.7668906968517861</v>
      </c>
      <c r="M109" s="1">
        <v>44.556485355648533</v>
      </c>
      <c r="N10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10" spans="1:14" x14ac:dyDescent="0.3">
      <c r="A110">
        <v>2022</v>
      </c>
      <c r="B110" t="s">
        <v>0</v>
      </c>
      <c r="C110">
        <v>9</v>
      </c>
      <c r="D110" t="s">
        <v>370</v>
      </c>
      <c r="E110">
        <v>137</v>
      </c>
      <c r="F110" t="s">
        <v>2</v>
      </c>
      <c r="G110" t="s">
        <v>13</v>
      </c>
      <c r="H110" s="1">
        <v>0</v>
      </c>
      <c r="I110" s="1">
        <v>0</v>
      </c>
      <c r="J110" s="2">
        <v>0</v>
      </c>
      <c r="K110" s="1">
        <v>0</v>
      </c>
      <c r="L110" s="1">
        <v>0</v>
      </c>
      <c r="M110" s="1">
        <v>0</v>
      </c>
      <c r="N11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11" spans="1:14" x14ac:dyDescent="0.3">
      <c r="A111">
        <v>2022</v>
      </c>
      <c r="B111" t="s">
        <v>38</v>
      </c>
      <c r="C111">
        <v>23</v>
      </c>
      <c r="D111" t="s">
        <v>228</v>
      </c>
      <c r="E111">
        <v>420</v>
      </c>
      <c r="F111" t="s">
        <v>2</v>
      </c>
      <c r="G111" t="s">
        <v>13</v>
      </c>
      <c r="H111" s="1">
        <v>0</v>
      </c>
      <c r="I111" s="1">
        <v>0</v>
      </c>
      <c r="J111" s="2">
        <v>0</v>
      </c>
      <c r="K111" s="1">
        <v>0</v>
      </c>
      <c r="L111" s="1">
        <v>0</v>
      </c>
      <c r="M111" s="1">
        <v>0</v>
      </c>
      <c r="N11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12" spans="1:14" x14ac:dyDescent="0.3">
      <c r="A112">
        <v>2022</v>
      </c>
      <c r="B112" t="s">
        <v>0</v>
      </c>
      <c r="C112">
        <v>9</v>
      </c>
      <c r="D112" t="s">
        <v>171</v>
      </c>
      <c r="E112">
        <v>148</v>
      </c>
      <c r="F112" t="s">
        <v>2</v>
      </c>
      <c r="G112" t="s">
        <v>27</v>
      </c>
      <c r="H112" s="1">
        <v>198</v>
      </c>
      <c r="I112" s="1">
        <v>2695</v>
      </c>
      <c r="J112" s="2">
        <v>23382</v>
      </c>
      <c r="K112" s="1">
        <v>13.611111111111111</v>
      </c>
      <c r="L112" s="1">
        <v>8.6760667903525039</v>
      </c>
      <c r="M112" s="1">
        <v>118.09090909090909</v>
      </c>
      <c r="N11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13" spans="1:14" x14ac:dyDescent="0.3">
      <c r="A113">
        <v>2022</v>
      </c>
      <c r="B113" t="s">
        <v>41</v>
      </c>
      <c r="C113">
        <v>29</v>
      </c>
      <c r="D113" t="s">
        <v>286</v>
      </c>
      <c r="E113">
        <v>636</v>
      </c>
      <c r="F113" t="s">
        <v>9</v>
      </c>
      <c r="G113" t="s">
        <v>13</v>
      </c>
      <c r="H113" s="1">
        <v>0</v>
      </c>
      <c r="I113" s="1">
        <v>0</v>
      </c>
      <c r="J113" s="2">
        <v>0</v>
      </c>
      <c r="K113" s="1">
        <v>0</v>
      </c>
      <c r="L113" s="1">
        <v>0</v>
      </c>
      <c r="M113" s="1">
        <v>0</v>
      </c>
      <c r="N11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14" spans="1:14" x14ac:dyDescent="0.3">
      <c r="A114">
        <v>2022</v>
      </c>
      <c r="B114" t="s">
        <v>70</v>
      </c>
      <c r="C114">
        <v>1</v>
      </c>
      <c r="D114" t="s">
        <v>292</v>
      </c>
      <c r="E114">
        <v>5</v>
      </c>
      <c r="F114" t="s">
        <v>20</v>
      </c>
      <c r="G114" t="s">
        <v>27</v>
      </c>
      <c r="H114" s="1">
        <v>267</v>
      </c>
      <c r="I114" s="1">
        <v>2804</v>
      </c>
      <c r="J114" s="2">
        <v>43498</v>
      </c>
      <c r="K114" s="1">
        <v>10.50187265917603</v>
      </c>
      <c r="L114" s="1">
        <v>15.51283880171184</v>
      </c>
      <c r="M114" s="1">
        <v>162.91385767790263</v>
      </c>
      <c r="N11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115" spans="1:14" x14ac:dyDescent="0.3">
      <c r="A115">
        <v>2022</v>
      </c>
      <c r="B115" t="s">
        <v>79</v>
      </c>
      <c r="C115">
        <v>20</v>
      </c>
      <c r="D115" t="s">
        <v>379</v>
      </c>
      <c r="E115">
        <v>327</v>
      </c>
      <c r="F115" t="s">
        <v>6</v>
      </c>
      <c r="G115" t="s">
        <v>13</v>
      </c>
      <c r="H115" s="1">
        <v>75</v>
      </c>
      <c r="I115" s="1">
        <v>1209</v>
      </c>
      <c r="J115" s="2">
        <v>2634</v>
      </c>
      <c r="K115" s="1">
        <v>16.12</v>
      </c>
      <c r="L115" s="1">
        <v>2.1786600496277915</v>
      </c>
      <c r="M115" s="1">
        <v>35.119999999999997</v>
      </c>
      <c r="N11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16" spans="1:14" x14ac:dyDescent="0.3">
      <c r="A116">
        <v>2022</v>
      </c>
      <c r="B116" t="s">
        <v>21</v>
      </c>
      <c r="C116">
        <v>19</v>
      </c>
      <c r="D116" t="s">
        <v>382</v>
      </c>
      <c r="E116">
        <v>704</v>
      </c>
      <c r="F116" t="s">
        <v>6</v>
      </c>
      <c r="G116" t="s">
        <v>13</v>
      </c>
      <c r="H116" s="1">
        <v>0</v>
      </c>
      <c r="I116" s="1">
        <v>0</v>
      </c>
      <c r="J116" s="2">
        <v>0</v>
      </c>
      <c r="K116" s="1">
        <v>0</v>
      </c>
      <c r="L116" s="1">
        <v>0</v>
      </c>
      <c r="M116" s="1">
        <v>0</v>
      </c>
      <c r="N11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17" spans="1:14" x14ac:dyDescent="0.3">
      <c r="A117">
        <v>2022</v>
      </c>
      <c r="B117" t="s">
        <v>4</v>
      </c>
      <c r="C117">
        <v>10</v>
      </c>
      <c r="D117" t="s">
        <v>139</v>
      </c>
      <c r="E117">
        <v>190</v>
      </c>
      <c r="F117" t="s">
        <v>6</v>
      </c>
      <c r="G117" t="s">
        <v>13</v>
      </c>
      <c r="H117" s="1">
        <v>71</v>
      </c>
      <c r="I117" s="1">
        <v>1797</v>
      </c>
      <c r="J117" s="2">
        <v>2340</v>
      </c>
      <c r="K117" s="1">
        <v>25.309859154929576</v>
      </c>
      <c r="L117" s="1">
        <v>1.3021702838063438</v>
      </c>
      <c r="M117" s="1">
        <v>32.95774647887324</v>
      </c>
      <c r="N11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18" spans="1:14" x14ac:dyDescent="0.3">
      <c r="A118">
        <v>2022</v>
      </c>
      <c r="B118" t="s">
        <v>65</v>
      </c>
      <c r="C118">
        <v>22</v>
      </c>
      <c r="D118" t="s">
        <v>301</v>
      </c>
      <c r="E118">
        <v>649</v>
      </c>
      <c r="F118" t="s">
        <v>2</v>
      </c>
      <c r="G118" t="s">
        <v>13</v>
      </c>
      <c r="H118" s="1">
        <v>0</v>
      </c>
      <c r="I118" s="1">
        <v>0</v>
      </c>
      <c r="J118" s="2">
        <v>0</v>
      </c>
      <c r="K118" s="1">
        <v>0</v>
      </c>
      <c r="L118" s="1">
        <v>0</v>
      </c>
      <c r="M118" s="1">
        <v>0</v>
      </c>
      <c r="N11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19" spans="1:14" x14ac:dyDescent="0.3">
      <c r="A119">
        <v>2022</v>
      </c>
      <c r="B119" t="s">
        <v>77</v>
      </c>
      <c r="C119">
        <v>8</v>
      </c>
      <c r="D119" t="s">
        <v>389</v>
      </c>
      <c r="E119">
        <v>113</v>
      </c>
      <c r="F119" t="s">
        <v>20</v>
      </c>
      <c r="G119" t="s">
        <v>3</v>
      </c>
      <c r="H119" s="1">
        <v>0</v>
      </c>
      <c r="I119" s="1">
        <v>0</v>
      </c>
      <c r="J119" s="2">
        <v>0</v>
      </c>
      <c r="K119" s="1">
        <v>0</v>
      </c>
      <c r="L119" s="1">
        <v>0</v>
      </c>
      <c r="M119" s="1">
        <v>0</v>
      </c>
      <c r="N11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0" spans="1:14" x14ac:dyDescent="0.3">
      <c r="A120">
        <v>2022</v>
      </c>
      <c r="B120" t="s">
        <v>87</v>
      </c>
      <c r="C120">
        <v>2</v>
      </c>
      <c r="D120" t="s">
        <v>88</v>
      </c>
      <c r="E120">
        <v>21</v>
      </c>
      <c r="F120" t="s">
        <v>20</v>
      </c>
      <c r="G120" t="s">
        <v>13</v>
      </c>
      <c r="H120" s="1">
        <v>16</v>
      </c>
      <c r="I120" s="1">
        <v>65</v>
      </c>
      <c r="J120" s="2">
        <v>610</v>
      </c>
      <c r="K120" s="1">
        <v>4.0625</v>
      </c>
      <c r="L120" s="1">
        <v>9.384615384615385</v>
      </c>
      <c r="M120" s="1">
        <v>38.125</v>
      </c>
      <c r="N12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21" spans="1:14" x14ac:dyDescent="0.3">
      <c r="A121">
        <v>2022</v>
      </c>
      <c r="B121" t="s">
        <v>65</v>
      </c>
      <c r="C121">
        <v>22</v>
      </c>
      <c r="D121" t="s">
        <v>176</v>
      </c>
      <c r="E121">
        <v>647</v>
      </c>
      <c r="F121" t="s">
        <v>2</v>
      </c>
      <c r="G121" t="s">
        <v>3</v>
      </c>
      <c r="H121" s="1">
        <v>22</v>
      </c>
      <c r="I121" s="1">
        <v>545</v>
      </c>
      <c r="J121" s="2">
        <v>1029</v>
      </c>
      <c r="K121" s="1">
        <v>24.772727272727273</v>
      </c>
      <c r="L121" s="1">
        <v>1.8880733944954129</v>
      </c>
      <c r="M121" s="1">
        <v>46.772727272727273</v>
      </c>
      <c r="N12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22" spans="1:14" x14ac:dyDescent="0.3">
      <c r="A122">
        <v>2022</v>
      </c>
      <c r="B122" t="s">
        <v>81</v>
      </c>
      <c r="C122">
        <v>12</v>
      </c>
      <c r="D122" t="s">
        <v>285</v>
      </c>
      <c r="E122">
        <v>237</v>
      </c>
      <c r="F122" t="s">
        <v>12</v>
      </c>
      <c r="G122" t="s">
        <v>13</v>
      </c>
      <c r="H122" s="1">
        <v>0</v>
      </c>
      <c r="I122" s="1">
        <v>0</v>
      </c>
      <c r="J122" s="2">
        <v>0</v>
      </c>
      <c r="K122" s="1">
        <v>0</v>
      </c>
      <c r="L122" s="1">
        <v>0</v>
      </c>
      <c r="M122" s="1">
        <v>0</v>
      </c>
      <c r="N12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3" spans="1:14" x14ac:dyDescent="0.3">
      <c r="A123">
        <v>2021</v>
      </c>
      <c r="B123" t="s">
        <v>7</v>
      </c>
      <c r="C123">
        <v>33</v>
      </c>
      <c r="D123" t="s">
        <v>8</v>
      </c>
      <c r="E123">
        <v>729</v>
      </c>
      <c r="F123" t="s">
        <v>9</v>
      </c>
      <c r="G123" t="s">
        <v>3</v>
      </c>
      <c r="H123" s="1">
        <v>0</v>
      </c>
      <c r="I123" s="1">
        <v>0</v>
      </c>
      <c r="J123" s="2">
        <v>0</v>
      </c>
      <c r="K123" s="1">
        <v>0</v>
      </c>
      <c r="L123" s="1">
        <v>0</v>
      </c>
      <c r="M123" s="1">
        <v>0</v>
      </c>
      <c r="N12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4" spans="1:14" x14ac:dyDescent="0.3">
      <c r="A124">
        <v>2021</v>
      </c>
      <c r="B124" t="s">
        <v>0</v>
      </c>
      <c r="C124">
        <v>9</v>
      </c>
      <c r="D124" t="s">
        <v>16</v>
      </c>
      <c r="E124">
        <v>157</v>
      </c>
      <c r="F124" t="s">
        <v>2</v>
      </c>
      <c r="G124" t="s">
        <v>17</v>
      </c>
      <c r="H124" s="1">
        <v>0</v>
      </c>
      <c r="I124" s="1">
        <v>0</v>
      </c>
      <c r="J124" s="2">
        <v>0</v>
      </c>
      <c r="K124" s="1">
        <v>0</v>
      </c>
      <c r="L124" s="1">
        <v>0</v>
      </c>
      <c r="M124" s="1">
        <v>0</v>
      </c>
      <c r="N12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5" spans="1:14" x14ac:dyDescent="0.3">
      <c r="A125">
        <v>2021</v>
      </c>
      <c r="B125" t="s">
        <v>21</v>
      </c>
      <c r="C125">
        <v>19</v>
      </c>
      <c r="D125" t="s">
        <v>22</v>
      </c>
      <c r="E125">
        <v>319</v>
      </c>
      <c r="F125" t="s">
        <v>6</v>
      </c>
      <c r="G125" t="s">
        <v>3</v>
      </c>
      <c r="H125" s="1">
        <v>221</v>
      </c>
      <c r="I125" s="1">
        <v>5071</v>
      </c>
      <c r="J125" s="2">
        <v>8610</v>
      </c>
      <c r="K125" s="1">
        <v>22.945701357466064</v>
      </c>
      <c r="L125" s="1">
        <v>1.6978899625320449</v>
      </c>
      <c r="M125" s="1">
        <v>38.959276018099544</v>
      </c>
      <c r="N12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26" spans="1:14" x14ac:dyDescent="0.3">
      <c r="A126">
        <v>2021</v>
      </c>
      <c r="B126" t="s">
        <v>23</v>
      </c>
      <c r="C126">
        <v>24</v>
      </c>
      <c r="D126" t="s">
        <v>26</v>
      </c>
      <c r="E126">
        <v>451</v>
      </c>
      <c r="F126" t="s">
        <v>25</v>
      </c>
      <c r="G126" t="s">
        <v>27</v>
      </c>
      <c r="H126" s="1">
        <v>0</v>
      </c>
      <c r="I126" s="1">
        <v>0</v>
      </c>
      <c r="J126" s="2">
        <v>0</v>
      </c>
      <c r="K126" s="1">
        <v>0</v>
      </c>
      <c r="L126" s="1">
        <v>0</v>
      </c>
      <c r="M126" s="1">
        <v>0</v>
      </c>
      <c r="N12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7" spans="1:14" x14ac:dyDescent="0.3">
      <c r="A127">
        <v>2021</v>
      </c>
      <c r="B127" t="s">
        <v>28</v>
      </c>
      <c r="C127">
        <v>36</v>
      </c>
      <c r="D127" t="s">
        <v>29</v>
      </c>
      <c r="E127">
        <v>522</v>
      </c>
      <c r="F127" t="s">
        <v>9</v>
      </c>
      <c r="G127" t="s">
        <v>3</v>
      </c>
      <c r="H127" s="1">
        <v>0</v>
      </c>
      <c r="I127" s="1">
        <v>0</v>
      </c>
      <c r="J127" s="2">
        <v>0</v>
      </c>
      <c r="K127" s="1">
        <v>0</v>
      </c>
      <c r="L127" s="1">
        <v>0</v>
      </c>
      <c r="M127" s="1">
        <v>0</v>
      </c>
      <c r="N12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28" spans="1:14" x14ac:dyDescent="0.3">
      <c r="A128">
        <v>2021</v>
      </c>
      <c r="B128" t="s">
        <v>0</v>
      </c>
      <c r="C128">
        <v>9</v>
      </c>
      <c r="D128" t="s">
        <v>36</v>
      </c>
      <c r="E128">
        <v>170</v>
      </c>
      <c r="F128" t="s">
        <v>2</v>
      </c>
      <c r="G128" t="s">
        <v>27</v>
      </c>
      <c r="H128" s="1">
        <v>49</v>
      </c>
      <c r="I128" s="1">
        <v>672</v>
      </c>
      <c r="J128" s="2">
        <v>3815</v>
      </c>
      <c r="K128" s="1">
        <v>13.714285714285714</v>
      </c>
      <c r="L128" s="1">
        <v>5.677083333333333</v>
      </c>
      <c r="M128" s="1">
        <v>77.857142857142861</v>
      </c>
      <c r="N12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29" spans="1:14" x14ac:dyDescent="0.3">
      <c r="A129">
        <v>2021</v>
      </c>
      <c r="B129" t="s">
        <v>41</v>
      </c>
      <c r="C129">
        <v>29</v>
      </c>
      <c r="D129" t="s">
        <v>42</v>
      </c>
      <c r="E129">
        <v>543</v>
      </c>
      <c r="F129" t="s">
        <v>9</v>
      </c>
      <c r="G129" t="s">
        <v>27</v>
      </c>
      <c r="H129" s="1">
        <v>0</v>
      </c>
      <c r="I129" s="1">
        <v>0</v>
      </c>
      <c r="J129" s="2">
        <v>0</v>
      </c>
      <c r="K129" s="1">
        <v>0</v>
      </c>
      <c r="L129" s="1">
        <v>0</v>
      </c>
      <c r="M129" s="1">
        <v>0</v>
      </c>
      <c r="N12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30" spans="1:14" x14ac:dyDescent="0.3">
      <c r="A130">
        <v>2021</v>
      </c>
      <c r="B130" t="s">
        <v>30</v>
      </c>
      <c r="C130">
        <v>32</v>
      </c>
      <c r="D130" t="s">
        <v>46</v>
      </c>
      <c r="E130">
        <v>563</v>
      </c>
      <c r="F130" t="s">
        <v>9</v>
      </c>
      <c r="G130" t="s">
        <v>3</v>
      </c>
      <c r="H130" s="1">
        <v>365</v>
      </c>
      <c r="I130" s="1">
        <v>4523</v>
      </c>
      <c r="J130" s="2">
        <v>18106</v>
      </c>
      <c r="K130" s="1">
        <v>12.391780821917807</v>
      </c>
      <c r="L130" s="1">
        <v>4.0030952907362369</v>
      </c>
      <c r="M130" s="1">
        <v>49.605479452054794</v>
      </c>
      <c r="N13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1" spans="1:14" x14ac:dyDescent="0.3">
      <c r="A131">
        <v>2021</v>
      </c>
      <c r="B131" t="s">
        <v>0</v>
      </c>
      <c r="C131">
        <v>9</v>
      </c>
      <c r="D131" t="s">
        <v>49</v>
      </c>
      <c r="E131">
        <v>121</v>
      </c>
      <c r="F131" t="s">
        <v>2</v>
      </c>
      <c r="G131" t="s">
        <v>27</v>
      </c>
      <c r="H131" s="1">
        <v>27</v>
      </c>
      <c r="I131" s="1">
        <v>348</v>
      </c>
      <c r="J131" s="2">
        <v>1230</v>
      </c>
      <c r="K131" s="1">
        <v>12.888888888888889</v>
      </c>
      <c r="L131" s="1">
        <v>3.5344827586206895</v>
      </c>
      <c r="M131" s="1">
        <v>45.555555555555557</v>
      </c>
      <c r="N13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2" spans="1:14" x14ac:dyDescent="0.3">
      <c r="A132">
        <v>2021</v>
      </c>
      <c r="B132" t="s">
        <v>53</v>
      </c>
      <c r="C132">
        <v>27</v>
      </c>
      <c r="D132" t="s">
        <v>54</v>
      </c>
      <c r="E132">
        <v>474</v>
      </c>
      <c r="F132" t="s">
        <v>25</v>
      </c>
      <c r="G132" t="s">
        <v>13</v>
      </c>
      <c r="H132" s="1">
        <v>46</v>
      </c>
      <c r="I132" s="1">
        <v>907</v>
      </c>
      <c r="J132" s="2">
        <v>1342</v>
      </c>
      <c r="K132" s="1">
        <v>19.717391304347824</v>
      </c>
      <c r="L132" s="1">
        <v>1.4796030871003307</v>
      </c>
      <c r="M132" s="1">
        <v>29.173913043478262</v>
      </c>
      <c r="N13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3" spans="1:14" x14ac:dyDescent="0.3">
      <c r="A133">
        <v>2021</v>
      </c>
      <c r="B133" t="s">
        <v>63</v>
      </c>
      <c r="C133">
        <v>17</v>
      </c>
      <c r="D133" t="s">
        <v>64</v>
      </c>
      <c r="E133">
        <v>273</v>
      </c>
      <c r="F133" t="s">
        <v>12</v>
      </c>
      <c r="G133" t="s">
        <v>13</v>
      </c>
      <c r="H133" s="1">
        <v>5</v>
      </c>
      <c r="I133" s="1">
        <v>54</v>
      </c>
      <c r="J133" s="2">
        <v>89</v>
      </c>
      <c r="K133" s="1">
        <v>10.8</v>
      </c>
      <c r="L133" s="1">
        <v>1.6481481481481481</v>
      </c>
      <c r="M133" s="1">
        <v>17.8</v>
      </c>
      <c r="N13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4" spans="1:14" x14ac:dyDescent="0.3">
      <c r="A134">
        <v>2021</v>
      </c>
      <c r="B134" t="s">
        <v>74</v>
      </c>
      <c r="C134">
        <v>13</v>
      </c>
      <c r="D134" t="s">
        <v>75</v>
      </c>
      <c r="E134">
        <v>245</v>
      </c>
      <c r="F134" t="s">
        <v>12</v>
      </c>
      <c r="G134" t="s">
        <v>3</v>
      </c>
      <c r="H134" s="1">
        <v>37</v>
      </c>
      <c r="I134" s="1">
        <v>271</v>
      </c>
      <c r="J134" s="2">
        <v>4760</v>
      </c>
      <c r="K134" s="1">
        <v>7.3243243243243246</v>
      </c>
      <c r="L134" s="1">
        <v>17.564575645756456</v>
      </c>
      <c r="M134" s="1">
        <v>128.64864864864865</v>
      </c>
      <c r="N13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135" spans="1:14" x14ac:dyDescent="0.3">
      <c r="A135">
        <v>2021</v>
      </c>
      <c r="B135" t="s">
        <v>81</v>
      </c>
      <c r="C135">
        <v>12</v>
      </c>
      <c r="D135" t="s">
        <v>82</v>
      </c>
      <c r="E135">
        <v>241</v>
      </c>
      <c r="F135" t="s">
        <v>12</v>
      </c>
      <c r="G135" t="s">
        <v>13</v>
      </c>
      <c r="H135" s="1">
        <v>6</v>
      </c>
      <c r="I135" s="1">
        <v>13</v>
      </c>
      <c r="J135" s="2">
        <v>146</v>
      </c>
      <c r="K135" s="1">
        <v>2.1666666666666665</v>
      </c>
      <c r="L135" s="1">
        <v>11.23076923076923</v>
      </c>
      <c r="M135" s="1">
        <v>24.333333333333332</v>
      </c>
      <c r="N13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36" spans="1:14" x14ac:dyDescent="0.3">
      <c r="A136">
        <v>2021</v>
      </c>
      <c r="B136" t="s">
        <v>53</v>
      </c>
      <c r="C136">
        <v>27</v>
      </c>
      <c r="D136" t="s">
        <v>85</v>
      </c>
      <c r="E136">
        <v>484</v>
      </c>
      <c r="F136" t="s">
        <v>25</v>
      </c>
      <c r="G136" t="s">
        <v>13</v>
      </c>
      <c r="H136" s="1">
        <v>159</v>
      </c>
      <c r="I136" s="1">
        <v>1581</v>
      </c>
      <c r="J136" s="2">
        <v>6000</v>
      </c>
      <c r="K136" s="1">
        <v>9.9433962264150946</v>
      </c>
      <c r="L136" s="1">
        <v>3.795066413662239</v>
      </c>
      <c r="M136" s="1">
        <v>37.735849056603776</v>
      </c>
      <c r="N13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37" spans="1:14" x14ac:dyDescent="0.3">
      <c r="A137">
        <v>2021</v>
      </c>
      <c r="B137" t="s">
        <v>23</v>
      </c>
      <c r="C137">
        <v>24</v>
      </c>
      <c r="D137" t="s">
        <v>86</v>
      </c>
      <c r="E137">
        <v>446</v>
      </c>
      <c r="F137" t="s">
        <v>25</v>
      </c>
      <c r="G137" t="s">
        <v>3</v>
      </c>
      <c r="H137" s="1">
        <v>0</v>
      </c>
      <c r="I137" s="1">
        <v>0</v>
      </c>
      <c r="J137" s="2">
        <v>0</v>
      </c>
      <c r="K137" s="1">
        <v>0</v>
      </c>
      <c r="L137" s="1">
        <v>0</v>
      </c>
      <c r="M137" s="1">
        <v>0</v>
      </c>
      <c r="N13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38" spans="1:14" x14ac:dyDescent="0.3">
      <c r="A138">
        <v>2021</v>
      </c>
      <c r="B138" t="s">
        <v>79</v>
      </c>
      <c r="C138">
        <v>20</v>
      </c>
      <c r="D138" t="s">
        <v>93</v>
      </c>
      <c r="E138">
        <v>332</v>
      </c>
      <c r="F138" t="s">
        <v>6</v>
      </c>
      <c r="G138" t="s">
        <v>3</v>
      </c>
      <c r="H138" s="1">
        <v>0</v>
      </c>
      <c r="I138" s="1">
        <v>0</v>
      </c>
      <c r="J138" s="2">
        <v>0</v>
      </c>
      <c r="K138" s="1">
        <v>0</v>
      </c>
      <c r="L138" s="1">
        <v>0</v>
      </c>
      <c r="M138" s="1">
        <v>0</v>
      </c>
      <c r="N13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39" spans="1:14" x14ac:dyDescent="0.3">
      <c r="A139">
        <v>2021</v>
      </c>
      <c r="B139" t="s">
        <v>21</v>
      </c>
      <c r="C139">
        <v>19</v>
      </c>
      <c r="D139" t="s">
        <v>95</v>
      </c>
      <c r="E139">
        <v>305</v>
      </c>
      <c r="F139" t="s">
        <v>6</v>
      </c>
      <c r="G139" t="s">
        <v>3</v>
      </c>
      <c r="H139" s="1">
        <v>0</v>
      </c>
      <c r="I139" s="1">
        <v>0</v>
      </c>
      <c r="J139" s="2">
        <v>0</v>
      </c>
      <c r="K139" s="1">
        <v>0</v>
      </c>
      <c r="L139" s="1">
        <v>0</v>
      </c>
      <c r="M139" s="1">
        <v>0</v>
      </c>
      <c r="N13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0" spans="1:14" x14ac:dyDescent="0.3">
      <c r="A140">
        <v>2021</v>
      </c>
      <c r="B140" t="s">
        <v>87</v>
      </c>
      <c r="C140">
        <v>2</v>
      </c>
      <c r="D140" t="s">
        <v>97</v>
      </c>
      <c r="E140">
        <v>23</v>
      </c>
      <c r="F140" t="s">
        <v>20</v>
      </c>
      <c r="G140" t="s">
        <v>13</v>
      </c>
      <c r="H140" s="1">
        <v>0</v>
      </c>
      <c r="I140" s="1">
        <v>0</v>
      </c>
      <c r="J140" s="2">
        <v>0</v>
      </c>
      <c r="K140" s="1">
        <v>0</v>
      </c>
      <c r="L140" s="1">
        <v>0</v>
      </c>
      <c r="M140" s="1">
        <v>0</v>
      </c>
      <c r="N14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1" spans="1:14" x14ac:dyDescent="0.3">
      <c r="A141">
        <v>2021</v>
      </c>
      <c r="B141" t="s">
        <v>14</v>
      </c>
      <c r="C141">
        <v>21</v>
      </c>
      <c r="D141" t="s">
        <v>101</v>
      </c>
      <c r="E141">
        <v>356</v>
      </c>
      <c r="F141" t="s">
        <v>6</v>
      </c>
      <c r="G141" t="s">
        <v>3</v>
      </c>
      <c r="H141" s="1">
        <v>0</v>
      </c>
      <c r="I141" s="1">
        <v>0</v>
      </c>
      <c r="J141" s="2">
        <v>0</v>
      </c>
      <c r="K141" s="1">
        <v>0</v>
      </c>
      <c r="L141" s="1">
        <v>0</v>
      </c>
      <c r="M141" s="1">
        <v>0</v>
      </c>
      <c r="N14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2" spans="1:14" x14ac:dyDescent="0.3">
      <c r="A142">
        <v>2021</v>
      </c>
      <c r="B142" t="s">
        <v>0</v>
      </c>
      <c r="C142">
        <v>9</v>
      </c>
      <c r="D142" t="s">
        <v>102</v>
      </c>
      <c r="E142">
        <v>125</v>
      </c>
      <c r="F142" t="s">
        <v>2</v>
      </c>
      <c r="G142" t="s">
        <v>3</v>
      </c>
      <c r="H142" s="1">
        <v>24</v>
      </c>
      <c r="I142" s="1">
        <v>553</v>
      </c>
      <c r="J142" s="2">
        <v>1119</v>
      </c>
      <c r="K142" s="1">
        <v>23.041666666666668</v>
      </c>
      <c r="L142" s="1">
        <v>2.0235081374321879</v>
      </c>
      <c r="M142" s="1">
        <v>46.625</v>
      </c>
      <c r="N14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43" spans="1:14" x14ac:dyDescent="0.3">
      <c r="A143">
        <v>2021</v>
      </c>
      <c r="B143" t="s">
        <v>21</v>
      </c>
      <c r="C143">
        <v>19</v>
      </c>
      <c r="D143" t="s">
        <v>104</v>
      </c>
      <c r="E143">
        <v>311</v>
      </c>
      <c r="F143" t="s">
        <v>6</v>
      </c>
      <c r="G143" t="s">
        <v>13</v>
      </c>
      <c r="H143" s="1">
        <v>130</v>
      </c>
      <c r="I143" s="1">
        <v>2992</v>
      </c>
      <c r="J143" s="2">
        <v>3025</v>
      </c>
      <c r="K143" s="1">
        <v>23.015384615384615</v>
      </c>
      <c r="L143" s="1">
        <v>1.0110294117647058</v>
      </c>
      <c r="M143" s="1">
        <v>23.26923076923077</v>
      </c>
      <c r="N14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44" spans="1:14" x14ac:dyDescent="0.3">
      <c r="A144">
        <v>2021</v>
      </c>
      <c r="B144" t="s">
        <v>77</v>
      </c>
      <c r="C144">
        <v>8</v>
      </c>
      <c r="D144" t="s">
        <v>105</v>
      </c>
      <c r="E144">
        <v>101</v>
      </c>
      <c r="F144" t="s">
        <v>20</v>
      </c>
      <c r="G144" t="s">
        <v>3</v>
      </c>
      <c r="H144" s="1">
        <v>74</v>
      </c>
      <c r="I144" s="1">
        <v>1015</v>
      </c>
      <c r="J144" s="2">
        <v>2792</v>
      </c>
      <c r="K144" s="1">
        <v>13.716216216216216</v>
      </c>
      <c r="L144" s="1">
        <v>2.7507389162561577</v>
      </c>
      <c r="M144" s="1">
        <v>37.729729729729726</v>
      </c>
      <c r="N14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45" spans="1:14" x14ac:dyDescent="0.3">
      <c r="A145">
        <v>2021</v>
      </c>
      <c r="B145" t="s">
        <v>56</v>
      </c>
      <c r="C145">
        <v>5</v>
      </c>
      <c r="D145" t="s">
        <v>108</v>
      </c>
      <c r="E145">
        <v>50</v>
      </c>
      <c r="F145" t="s">
        <v>2</v>
      </c>
      <c r="G145" t="s">
        <v>13</v>
      </c>
      <c r="H145" s="1">
        <v>72</v>
      </c>
      <c r="I145" s="1">
        <v>1027</v>
      </c>
      <c r="J145" s="2">
        <v>4925</v>
      </c>
      <c r="K145" s="1">
        <v>14.263888888888889</v>
      </c>
      <c r="L145" s="1">
        <v>4.7955209347614414</v>
      </c>
      <c r="M145" s="1">
        <v>68.402777777777771</v>
      </c>
      <c r="N14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46" spans="1:14" x14ac:dyDescent="0.3">
      <c r="A146">
        <v>2021</v>
      </c>
      <c r="B146" t="s">
        <v>0</v>
      </c>
      <c r="C146">
        <v>9</v>
      </c>
      <c r="D146" t="s">
        <v>111</v>
      </c>
      <c r="E146">
        <v>163</v>
      </c>
      <c r="F146" t="s">
        <v>2</v>
      </c>
      <c r="G146" t="s">
        <v>13</v>
      </c>
      <c r="H146" s="1">
        <v>0</v>
      </c>
      <c r="I146" s="1">
        <v>0</v>
      </c>
      <c r="J146" s="2">
        <v>0</v>
      </c>
      <c r="K146" s="1">
        <v>0</v>
      </c>
      <c r="L146" s="1">
        <v>0</v>
      </c>
      <c r="M146" s="1">
        <v>0</v>
      </c>
      <c r="N14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7" spans="1:14" x14ac:dyDescent="0.3">
      <c r="A147">
        <v>2021</v>
      </c>
      <c r="B147" t="s">
        <v>28</v>
      </c>
      <c r="C147">
        <v>36</v>
      </c>
      <c r="D147" t="s">
        <v>114</v>
      </c>
      <c r="E147">
        <v>694</v>
      </c>
      <c r="F147" t="s">
        <v>9</v>
      </c>
      <c r="G147" t="s">
        <v>3</v>
      </c>
      <c r="H147" s="1">
        <v>0</v>
      </c>
      <c r="I147" s="1">
        <v>0</v>
      </c>
      <c r="J147" s="2">
        <v>0</v>
      </c>
      <c r="K147" s="1">
        <v>0</v>
      </c>
      <c r="L147" s="1">
        <v>0</v>
      </c>
      <c r="M147" s="1">
        <v>0</v>
      </c>
      <c r="N14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8" spans="1:14" x14ac:dyDescent="0.3">
      <c r="A148">
        <v>2021</v>
      </c>
      <c r="B148" t="s">
        <v>77</v>
      </c>
      <c r="C148">
        <v>8</v>
      </c>
      <c r="D148" t="s">
        <v>120</v>
      </c>
      <c r="E148">
        <v>97</v>
      </c>
      <c r="F148" t="s">
        <v>20</v>
      </c>
      <c r="G148" t="s">
        <v>13</v>
      </c>
      <c r="H148" s="1">
        <v>0</v>
      </c>
      <c r="I148" s="1">
        <v>0</v>
      </c>
      <c r="J148" s="2">
        <v>0</v>
      </c>
      <c r="K148" s="1">
        <v>0</v>
      </c>
      <c r="L148" s="1">
        <v>0</v>
      </c>
      <c r="M148" s="1">
        <v>0</v>
      </c>
      <c r="N14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49" spans="1:14" x14ac:dyDescent="0.3">
      <c r="A149">
        <v>2021</v>
      </c>
      <c r="B149" t="s">
        <v>77</v>
      </c>
      <c r="C149">
        <v>8</v>
      </c>
      <c r="D149" t="s">
        <v>121</v>
      </c>
      <c r="E149">
        <v>111</v>
      </c>
      <c r="F149" t="s">
        <v>20</v>
      </c>
      <c r="G149" t="s">
        <v>27</v>
      </c>
      <c r="H149" s="1">
        <v>47</v>
      </c>
      <c r="I149" s="1">
        <v>508</v>
      </c>
      <c r="J149" s="2">
        <v>2673</v>
      </c>
      <c r="K149" s="1">
        <v>10.808510638297872</v>
      </c>
      <c r="L149" s="1">
        <v>5.2618110236220472</v>
      </c>
      <c r="M149" s="1">
        <v>56.872340425531917</v>
      </c>
      <c r="N14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50" spans="1:14" x14ac:dyDescent="0.3">
      <c r="A150">
        <v>2021</v>
      </c>
      <c r="B150" t="s">
        <v>65</v>
      </c>
      <c r="C150">
        <v>22</v>
      </c>
      <c r="D150" t="s">
        <v>124</v>
      </c>
      <c r="E150">
        <v>379</v>
      </c>
      <c r="F150" t="s">
        <v>2</v>
      </c>
      <c r="G150" t="s">
        <v>13</v>
      </c>
      <c r="H150" s="1">
        <v>78</v>
      </c>
      <c r="I150" s="1">
        <v>1448</v>
      </c>
      <c r="J150" s="2">
        <v>2431</v>
      </c>
      <c r="K150" s="1">
        <v>18.564102564102566</v>
      </c>
      <c r="L150" s="1">
        <v>1.6788674033149171</v>
      </c>
      <c r="M150" s="1">
        <v>31.166666666666668</v>
      </c>
      <c r="N15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51" spans="1:14" x14ac:dyDescent="0.3">
      <c r="A151">
        <v>2021</v>
      </c>
      <c r="B151" t="s">
        <v>28</v>
      </c>
      <c r="C151">
        <v>36</v>
      </c>
      <c r="D151" t="s">
        <v>130</v>
      </c>
      <c r="E151">
        <v>720</v>
      </c>
      <c r="F151" t="s">
        <v>9</v>
      </c>
      <c r="G151" t="s">
        <v>3</v>
      </c>
      <c r="H151" s="1">
        <v>6</v>
      </c>
      <c r="I151" s="1">
        <v>117</v>
      </c>
      <c r="J151" s="2">
        <v>296</v>
      </c>
      <c r="K151" s="1">
        <v>19.5</v>
      </c>
      <c r="L151" s="1">
        <v>2.5299145299145298</v>
      </c>
      <c r="M151" s="1">
        <v>49.333333333333336</v>
      </c>
      <c r="N15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52" spans="1:14" x14ac:dyDescent="0.3">
      <c r="A152">
        <v>2021</v>
      </c>
      <c r="B152" t="s">
        <v>70</v>
      </c>
      <c r="C152">
        <v>1</v>
      </c>
      <c r="D152" t="s">
        <v>71</v>
      </c>
      <c r="E152">
        <v>4</v>
      </c>
      <c r="F152" t="s">
        <v>20</v>
      </c>
      <c r="G152" t="s">
        <v>3</v>
      </c>
      <c r="H152" s="1">
        <v>17</v>
      </c>
      <c r="I152" s="1">
        <v>234</v>
      </c>
      <c r="J152" s="2">
        <v>1336</v>
      </c>
      <c r="K152" s="1">
        <v>13.764705882352942</v>
      </c>
      <c r="L152" s="1">
        <v>5.7094017094017095</v>
      </c>
      <c r="M152" s="1">
        <v>78.588235294117652</v>
      </c>
      <c r="N15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53" spans="1:14" x14ac:dyDescent="0.3">
      <c r="A153">
        <v>2021</v>
      </c>
      <c r="B153" t="s">
        <v>28</v>
      </c>
      <c r="C153">
        <v>36</v>
      </c>
      <c r="D153" t="s">
        <v>135</v>
      </c>
      <c r="E153">
        <v>518</v>
      </c>
      <c r="F153" t="s">
        <v>9</v>
      </c>
      <c r="G153" t="s">
        <v>13</v>
      </c>
      <c r="H153" s="1">
        <v>0</v>
      </c>
      <c r="I153" s="1">
        <v>0</v>
      </c>
      <c r="J153" s="2">
        <v>0</v>
      </c>
      <c r="K153" s="1">
        <v>0</v>
      </c>
      <c r="L153" s="1">
        <v>0</v>
      </c>
      <c r="M153" s="1">
        <v>0</v>
      </c>
      <c r="N15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4" spans="1:14" x14ac:dyDescent="0.3">
      <c r="A154">
        <v>2021</v>
      </c>
      <c r="B154" t="s">
        <v>77</v>
      </c>
      <c r="C154">
        <v>8</v>
      </c>
      <c r="D154" t="s">
        <v>138</v>
      </c>
      <c r="E154">
        <v>87</v>
      </c>
      <c r="F154" t="s">
        <v>20</v>
      </c>
      <c r="G154" t="s">
        <v>3</v>
      </c>
      <c r="H154" s="1">
        <v>0</v>
      </c>
      <c r="I154" s="1">
        <v>0</v>
      </c>
      <c r="J154" s="2">
        <v>0</v>
      </c>
      <c r="K154" s="1">
        <v>0</v>
      </c>
      <c r="L154" s="1">
        <v>0</v>
      </c>
      <c r="M154" s="1">
        <v>0</v>
      </c>
      <c r="N15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5" spans="1:14" x14ac:dyDescent="0.3">
      <c r="A155">
        <v>2021</v>
      </c>
      <c r="B155" t="s">
        <v>28</v>
      </c>
      <c r="C155">
        <v>36</v>
      </c>
      <c r="D155" t="s">
        <v>140</v>
      </c>
      <c r="E155">
        <v>509</v>
      </c>
      <c r="F155" t="s">
        <v>9</v>
      </c>
      <c r="G155" t="s">
        <v>13</v>
      </c>
      <c r="H155" s="1">
        <v>0</v>
      </c>
      <c r="I155" s="1">
        <v>0</v>
      </c>
      <c r="J155" s="2">
        <v>0</v>
      </c>
      <c r="K155" s="1">
        <v>0</v>
      </c>
      <c r="L155" s="1">
        <v>0</v>
      </c>
      <c r="M155" s="1">
        <v>0</v>
      </c>
      <c r="N15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6" spans="1:14" x14ac:dyDescent="0.3">
      <c r="A156">
        <v>2021</v>
      </c>
      <c r="B156" t="s">
        <v>4</v>
      </c>
      <c r="C156">
        <v>10</v>
      </c>
      <c r="D156" t="s">
        <v>150</v>
      </c>
      <c r="E156">
        <v>224</v>
      </c>
      <c r="F156" t="s">
        <v>6</v>
      </c>
      <c r="G156" t="s">
        <v>27</v>
      </c>
      <c r="H156" s="1">
        <v>0</v>
      </c>
      <c r="I156" s="1">
        <v>0</v>
      </c>
      <c r="J156" s="2">
        <v>0</v>
      </c>
      <c r="K156" s="1">
        <v>0</v>
      </c>
      <c r="L156" s="1">
        <v>0</v>
      </c>
      <c r="M156" s="1">
        <v>0</v>
      </c>
      <c r="N15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7" spans="1:14" x14ac:dyDescent="0.3">
      <c r="A157">
        <v>2021</v>
      </c>
      <c r="B157" t="s">
        <v>7</v>
      </c>
      <c r="C157">
        <v>33</v>
      </c>
      <c r="D157" t="s">
        <v>152</v>
      </c>
      <c r="E157">
        <v>576</v>
      </c>
      <c r="F157" t="s">
        <v>9</v>
      </c>
      <c r="G157" t="s">
        <v>13</v>
      </c>
      <c r="H157" s="1">
        <v>50</v>
      </c>
      <c r="I157" s="1">
        <v>630</v>
      </c>
      <c r="J157" s="2">
        <v>1365</v>
      </c>
      <c r="K157" s="1">
        <v>12.6</v>
      </c>
      <c r="L157" s="1">
        <v>2.1666666666666665</v>
      </c>
      <c r="M157" s="1">
        <v>27.3</v>
      </c>
      <c r="N15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58" spans="1:14" x14ac:dyDescent="0.3">
      <c r="A158">
        <v>2021</v>
      </c>
      <c r="B158" t="s">
        <v>10</v>
      </c>
      <c r="C158">
        <v>18</v>
      </c>
      <c r="D158" t="s">
        <v>154</v>
      </c>
      <c r="E158">
        <v>291</v>
      </c>
      <c r="F158" t="s">
        <v>12</v>
      </c>
      <c r="G158" t="s">
        <v>3</v>
      </c>
      <c r="H158" s="1">
        <v>0</v>
      </c>
      <c r="I158" s="1">
        <v>0</v>
      </c>
      <c r="J158" s="2">
        <v>0</v>
      </c>
      <c r="K158" s="1">
        <v>0</v>
      </c>
      <c r="L158" s="1">
        <v>0</v>
      </c>
      <c r="M158" s="1">
        <v>0</v>
      </c>
      <c r="N15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59" spans="1:14" x14ac:dyDescent="0.3">
      <c r="A159">
        <v>2021</v>
      </c>
      <c r="B159" t="s">
        <v>77</v>
      </c>
      <c r="C159">
        <v>8</v>
      </c>
      <c r="D159" t="s">
        <v>156</v>
      </c>
      <c r="E159">
        <v>86</v>
      </c>
      <c r="F159" t="s">
        <v>20</v>
      </c>
      <c r="G159" t="s">
        <v>13</v>
      </c>
      <c r="H159" s="1">
        <v>0</v>
      </c>
      <c r="I159" s="1">
        <v>0</v>
      </c>
      <c r="J159" s="2">
        <v>0</v>
      </c>
      <c r="K159" s="1">
        <v>0</v>
      </c>
      <c r="L159" s="1">
        <v>0</v>
      </c>
      <c r="M159" s="1">
        <v>0</v>
      </c>
      <c r="N15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0" spans="1:14" x14ac:dyDescent="0.3">
      <c r="A160">
        <v>2021</v>
      </c>
      <c r="B160" t="s">
        <v>63</v>
      </c>
      <c r="C160">
        <v>17</v>
      </c>
      <c r="D160" t="s">
        <v>158</v>
      </c>
      <c r="E160">
        <v>275</v>
      </c>
      <c r="F160" t="s">
        <v>12</v>
      </c>
      <c r="G160" t="s">
        <v>3</v>
      </c>
      <c r="H160" s="1">
        <v>0</v>
      </c>
      <c r="I160" s="1">
        <v>0</v>
      </c>
      <c r="J160" s="2">
        <v>0</v>
      </c>
      <c r="K160" s="1">
        <v>0</v>
      </c>
      <c r="L160" s="1">
        <v>0</v>
      </c>
      <c r="M160" s="1">
        <v>0</v>
      </c>
      <c r="N16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1" spans="1:14" x14ac:dyDescent="0.3">
      <c r="A161">
        <v>2021</v>
      </c>
      <c r="B161" t="s">
        <v>41</v>
      </c>
      <c r="C161">
        <v>29</v>
      </c>
      <c r="D161" t="s">
        <v>165</v>
      </c>
      <c r="E161">
        <v>549</v>
      </c>
      <c r="F161" t="s">
        <v>9</v>
      </c>
      <c r="G161" t="s">
        <v>27</v>
      </c>
      <c r="H161" s="1">
        <v>0</v>
      </c>
      <c r="I161" s="1">
        <v>0</v>
      </c>
      <c r="J161" s="2">
        <v>0</v>
      </c>
      <c r="K161" s="1">
        <v>0</v>
      </c>
      <c r="L161" s="1">
        <v>0</v>
      </c>
      <c r="M161" s="1">
        <v>0</v>
      </c>
      <c r="N16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2" spans="1:14" x14ac:dyDescent="0.3">
      <c r="A162">
        <v>2021</v>
      </c>
      <c r="B162" t="s">
        <v>77</v>
      </c>
      <c r="C162">
        <v>8</v>
      </c>
      <c r="D162" t="s">
        <v>166</v>
      </c>
      <c r="E162">
        <v>117</v>
      </c>
      <c r="F162" t="s">
        <v>20</v>
      </c>
      <c r="G162" t="s">
        <v>13</v>
      </c>
      <c r="H162" s="1">
        <v>0</v>
      </c>
      <c r="I162" s="1">
        <v>0</v>
      </c>
      <c r="J162" s="2">
        <v>0</v>
      </c>
      <c r="K162" s="1">
        <v>0</v>
      </c>
      <c r="L162" s="1">
        <v>0</v>
      </c>
      <c r="M162" s="1">
        <v>0</v>
      </c>
      <c r="N16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3" spans="1:14" x14ac:dyDescent="0.3">
      <c r="A163">
        <v>2021</v>
      </c>
      <c r="B163" t="s">
        <v>28</v>
      </c>
      <c r="C163">
        <v>36</v>
      </c>
      <c r="D163" t="s">
        <v>167</v>
      </c>
      <c r="E163">
        <v>692</v>
      </c>
      <c r="F163" t="s">
        <v>9</v>
      </c>
      <c r="G163" t="s">
        <v>13</v>
      </c>
      <c r="H163" s="1">
        <v>61</v>
      </c>
      <c r="I163" s="1">
        <v>674</v>
      </c>
      <c r="J163" s="2">
        <v>1181</v>
      </c>
      <c r="K163" s="1">
        <v>11.049180327868852</v>
      </c>
      <c r="L163" s="1">
        <v>1.7522255192878338</v>
      </c>
      <c r="M163" s="1">
        <v>19.360655737704917</v>
      </c>
      <c r="N16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64" spans="1:14" x14ac:dyDescent="0.3">
      <c r="A164">
        <v>2021</v>
      </c>
      <c r="B164" t="s">
        <v>81</v>
      </c>
      <c r="C164">
        <v>12</v>
      </c>
      <c r="D164" t="s">
        <v>170</v>
      </c>
      <c r="E164">
        <v>240</v>
      </c>
      <c r="F164" t="s">
        <v>12</v>
      </c>
      <c r="G164" t="s">
        <v>13</v>
      </c>
      <c r="H164" s="1">
        <v>4</v>
      </c>
      <c r="I164" s="1">
        <v>32</v>
      </c>
      <c r="J164" s="2">
        <v>330</v>
      </c>
      <c r="K164" s="1">
        <v>8</v>
      </c>
      <c r="L164" s="1">
        <v>10.3125</v>
      </c>
      <c r="M164" s="1">
        <v>82.5</v>
      </c>
      <c r="N16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65" spans="1:14" x14ac:dyDescent="0.3">
      <c r="A165">
        <v>2021</v>
      </c>
      <c r="B165" t="s">
        <v>0</v>
      </c>
      <c r="C165">
        <v>9</v>
      </c>
      <c r="D165" t="s">
        <v>174</v>
      </c>
      <c r="E165">
        <v>122</v>
      </c>
      <c r="F165" t="s">
        <v>2</v>
      </c>
      <c r="G165" t="s">
        <v>13</v>
      </c>
      <c r="H165" s="1">
        <v>0</v>
      </c>
      <c r="I165" s="1">
        <v>0</v>
      </c>
      <c r="J165" s="2">
        <v>0</v>
      </c>
      <c r="K165" s="1">
        <v>0</v>
      </c>
      <c r="L165" s="1">
        <v>0</v>
      </c>
      <c r="M165" s="1">
        <v>0</v>
      </c>
      <c r="N16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6" spans="1:14" x14ac:dyDescent="0.3">
      <c r="A166">
        <v>2021</v>
      </c>
      <c r="B166" t="s">
        <v>21</v>
      </c>
      <c r="C166">
        <v>19</v>
      </c>
      <c r="D166" t="s">
        <v>177</v>
      </c>
      <c r="E166">
        <v>314</v>
      </c>
      <c r="F166" t="s">
        <v>6</v>
      </c>
      <c r="G166" t="s">
        <v>3</v>
      </c>
      <c r="H166" s="1">
        <v>97</v>
      </c>
      <c r="I166" s="1">
        <v>1758</v>
      </c>
      <c r="J166" s="2">
        <v>3685</v>
      </c>
      <c r="K166" s="1">
        <v>18.123711340206185</v>
      </c>
      <c r="L166" s="1">
        <v>2.0961319681456199</v>
      </c>
      <c r="M166" s="1">
        <v>37.989690721649481</v>
      </c>
      <c r="N16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67" spans="1:14" x14ac:dyDescent="0.3">
      <c r="A167">
        <v>2021</v>
      </c>
      <c r="B167" t="s">
        <v>77</v>
      </c>
      <c r="C167">
        <v>8</v>
      </c>
      <c r="D167" t="s">
        <v>156</v>
      </c>
      <c r="E167">
        <v>86</v>
      </c>
      <c r="F167" t="s">
        <v>20</v>
      </c>
      <c r="G167" t="s">
        <v>27</v>
      </c>
      <c r="H167" s="1">
        <v>0</v>
      </c>
      <c r="I167" s="1">
        <v>0</v>
      </c>
      <c r="J167" s="2">
        <v>0</v>
      </c>
      <c r="K167" s="1">
        <v>0</v>
      </c>
      <c r="L167" s="1">
        <v>0</v>
      </c>
      <c r="M167" s="1">
        <v>0</v>
      </c>
      <c r="N16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68" spans="1:14" x14ac:dyDescent="0.3">
      <c r="A168">
        <v>2021</v>
      </c>
      <c r="B168" t="s">
        <v>21</v>
      </c>
      <c r="C168">
        <v>19</v>
      </c>
      <c r="D168" t="s">
        <v>104</v>
      </c>
      <c r="E168">
        <v>311</v>
      </c>
      <c r="F168" t="s">
        <v>6</v>
      </c>
      <c r="G168" t="s">
        <v>3</v>
      </c>
      <c r="H168" s="1">
        <v>41</v>
      </c>
      <c r="I168" s="1">
        <v>990</v>
      </c>
      <c r="J168" s="2">
        <v>1409</v>
      </c>
      <c r="K168" s="1">
        <v>24.146341463414632</v>
      </c>
      <c r="L168" s="1">
        <v>1.4232323232323232</v>
      </c>
      <c r="M168" s="1">
        <v>34.365853658536587</v>
      </c>
      <c r="N16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69" spans="1:14" x14ac:dyDescent="0.3">
      <c r="A169">
        <v>2021</v>
      </c>
      <c r="B169" t="s">
        <v>7</v>
      </c>
      <c r="C169">
        <v>33</v>
      </c>
      <c r="D169" t="s">
        <v>184</v>
      </c>
      <c r="E169">
        <v>596</v>
      </c>
      <c r="F169" t="s">
        <v>9</v>
      </c>
      <c r="G169" t="s">
        <v>3</v>
      </c>
      <c r="H169" s="1">
        <v>168</v>
      </c>
      <c r="I169" s="1">
        <v>2638</v>
      </c>
      <c r="J169" s="2">
        <v>6677</v>
      </c>
      <c r="K169" s="1">
        <v>15.702380952380953</v>
      </c>
      <c r="L169" s="1">
        <v>2.531084154662623</v>
      </c>
      <c r="M169" s="1">
        <v>39.74404761904762</v>
      </c>
      <c r="N16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70" spans="1:14" x14ac:dyDescent="0.3">
      <c r="A170">
        <v>2021</v>
      </c>
      <c r="B170" t="s">
        <v>81</v>
      </c>
      <c r="C170">
        <v>12</v>
      </c>
      <c r="D170" t="s">
        <v>185</v>
      </c>
      <c r="E170">
        <v>666</v>
      </c>
      <c r="F170" t="s">
        <v>12</v>
      </c>
      <c r="G170" t="s">
        <v>13</v>
      </c>
      <c r="H170" s="1">
        <v>0</v>
      </c>
      <c r="I170" s="1">
        <v>0</v>
      </c>
      <c r="J170" s="2">
        <v>0</v>
      </c>
      <c r="K170" s="1">
        <v>0</v>
      </c>
      <c r="L170" s="1">
        <v>0</v>
      </c>
      <c r="M170" s="1">
        <v>0</v>
      </c>
      <c r="N17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1" spans="1:14" x14ac:dyDescent="0.3">
      <c r="A171">
        <v>2021</v>
      </c>
      <c r="B171" t="s">
        <v>0</v>
      </c>
      <c r="C171">
        <v>9</v>
      </c>
      <c r="D171" t="s">
        <v>188</v>
      </c>
      <c r="E171">
        <v>183</v>
      </c>
      <c r="F171" t="s">
        <v>2</v>
      </c>
      <c r="G171" t="s">
        <v>27</v>
      </c>
      <c r="H171" s="1">
        <v>0</v>
      </c>
      <c r="I171" s="1">
        <v>0</v>
      </c>
      <c r="J171" s="2">
        <v>0</v>
      </c>
      <c r="K171" s="1">
        <v>0</v>
      </c>
      <c r="L171" s="1">
        <v>0</v>
      </c>
      <c r="M171" s="1">
        <v>0</v>
      </c>
      <c r="N17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2" spans="1:14" x14ac:dyDescent="0.3">
      <c r="A172">
        <v>2021</v>
      </c>
      <c r="B172" t="s">
        <v>38</v>
      </c>
      <c r="C172">
        <v>23</v>
      </c>
      <c r="D172" t="s">
        <v>190</v>
      </c>
      <c r="E172">
        <v>404</v>
      </c>
      <c r="F172" t="s">
        <v>2</v>
      </c>
      <c r="G172" t="s">
        <v>13</v>
      </c>
      <c r="H172" s="1">
        <v>0</v>
      </c>
      <c r="I172" s="1">
        <v>0</v>
      </c>
      <c r="J172" s="2">
        <v>0</v>
      </c>
      <c r="K172" s="1">
        <v>0</v>
      </c>
      <c r="L172" s="1">
        <v>0</v>
      </c>
      <c r="M172" s="1">
        <v>0</v>
      </c>
      <c r="N17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3" spans="1:14" x14ac:dyDescent="0.3">
      <c r="A173">
        <v>2021</v>
      </c>
      <c r="B173" t="s">
        <v>10</v>
      </c>
      <c r="C173">
        <v>18</v>
      </c>
      <c r="D173" t="s">
        <v>192</v>
      </c>
      <c r="E173">
        <v>705</v>
      </c>
      <c r="F173" t="s">
        <v>12</v>
      </c>
      <c r="G173" t="s">
        <v>13</v>
      </c>
      <c r="H173" s="1">
        <v>27</v>
      </c>
      <c r="I173" s="1">
        <v>498</v>
      </c>
      <c r="J173" s="2">
        <v>712</v>
      </c>
      <c r="K173" s="1">
        <v>18.444444444444443</v>
      </c>
      <c r="L173" s="1">
        <v>1.429718875502008</v>
      </c>
      <c r="M173" s="1">
        <v>26.37037037037037</v>
      </c>
      <c r="N17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74" spans="1:14" x14ac:dyDescent="0.3">
      <c r="A174">
        <v>2021</v>
      </c>
      <c r="B174" t="s">
        <v>28</v>
      </c>
      <c r="C174">
        <v>36</v>
      </c>
      <c r="D174" t="s">
        <v>193</v>
      </c>
      <c r="E174">
        <v>514</v>
      </c>
      <c r="F174" t="s">
        <v>9</v>
      </c>
      <c r="G174" t="s">
        <v>27</v>
      </c>
      <c r="H174" s="1">
        <v>0</v>
      </c>
      <c r="I174" s="1">
        <v>0</v>
      </c>
      <c r="J174" s="2">
        <v>0</v>
      </c>
      <c r="K174" s="1">
        <v>0</v>
      </c>
      <c r="L174" s="1">
        <v>0</v>
      </c>
      <c r="M174" s="1">
        <v>0</v>
      </c>
      <c r="N17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5" spans="1:14" x14ac:dyDescent="0.3">
      <c r="A175">
        <v>2021</v>
      </c>
      <c r="B175" t="s">
        <v>74</v>
      </c>
      <c r="C175">
        <v>13</v>
      </c>
      <c r="D175" t="s">
        <v>75</v>
      </c>
      <c r="E175">
        <v>245</v>
      </c>
      <c r="F175" t="s">
        <v>12</v>
      </c>
      <c r="G175" t="s">
        <v>13</v>
      </c>
      <c r="H175" s="1">
        <v>7</v>
      </c>
      <c r="I175" s="1">
        <v>40</v>
      </c>
      <c r="J175" s="2">
        <v>169</v>
      </c>
      <c r="K175" s="1">
        <v>5.7142857142857144</v>
      </c>
      <c r="L175" s="1">
        <v>4.2249999999999996</v>
      </c>
      <c r="M175" s="1">
        <v>24.142857142857142</v>
      </c>
      <c r="N17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76" spans="1:14" x14ac:dyDescent="0.3">
      <c r="A176">
        <v>2021</v>
      </c>
      <c r="B176" t="s">
        <v>70</v>
      </c>
      <c r="C176">
        <v>1</v>
      </c>
      <c r="D176" t="s">
        <v>200</v>
      </c>
      <c r="E176">
        <v>7</v>
      </c>
      <c r="F176" t="s">
        <v>20</v>
      </c>
      <c r="G176" t="s">
        <v>13</v>
      </c>
      <c r="H176" s="1">
        <v>0</v>
      </c>
      <c r="I176" s="1">
        <v>0</v>
      </c>
      <c r="J176" s="2">
        <v>0</v>
      </c>
      <c r="K176" s="1">
        <v>0</v>
      </c>
      <c r="L176" s="1">
        <v>0</v>
      </c>
      <c r="M176" s="1">
        <v>0</v>
      </c>
      <c r="N17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7" spans="1:14" x14ac:dyDescent="0.3">
      <c r="A177">
        <v>2021</v>
      </c>
      <c r="B177" t="s">
        <v>7</v>
      </c>
      <c r="C177">
        <v>33</v>
      </c>
      <c r="D177" t="s">
        <v>204</v>
      </c>
      <c r="E177">
        <v>574</v>
      </c>
      <c r="F177" t="s">
        <v>9</v>
      </c>
      <c r="G177" t="s">
        <v>27</v>
      </c>
      <c r="H177" s="1">
        <v>191</v>
      </c>
      <c r="I177" s="1">
        <v>2405</v>
      </c>
      <c r="J177" s="2">
        <v>19884</v>
      </c>
      <c r="K177" s="1">
        <v>12.591623036649215</v>
      </c>
      <c r="L177" s="1">
        <v>8.2677754677754685</v>
      </c>
      <c r="M177" s="1">
        <v>104.10471204188482</v>
      </c>
      <c r="N17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78" spans="1:14" x14ac:dyDescent="0.3">
      <c r="A178">
        <v>2021</v>
      </c>
      <c r="B178" t="s">
        <v>77</v>
      </c>
      <c r="C178">
        <v>8</v>
      </c>
      <c r="D178" t="s">
        <v>210</v>
      </c>
      <c r="E178">
        <v>98</v>
      </c>
      <c r="F178" t="s">
        <v>20</v>
      </c>
      <c r="G178" t="s">
        <v>13</v>
      </c>
      <c r="H178" s="1">
        <v>20</v>
      </c>
      <c r="I178" s="1">
        <v>309</v>
      </c>
      <c r="J178" s="2">
        <v>280</v>
      </c>
      <c r="K178" s="1">
        <v>15.45</v>
      </c>
      <c r="L178" s="1">
        <v>0.90614886731391586</v>
      </c>
      <c r="M178" s="1">
        <v>14</v>
      </c>
      <c r="N17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79" spans="1:14" x14ac:dyDescent="0.3">
      <c r="A179">
        <v>2021</v>
      </c>
      <c r="B179" t="s">
        <v>7</v>
      </c>
      <c r="C179">
        <v>33</v>
      </c>
      <c r="D179" t="s">
        <v>211</v>
      </c>
      <c r="E179">
        <v>594</v>
      </c>
      <c r="F179" t="s">
        <v>9</v>
      </c>
      <c r="G179" t="s">
        <v>3</v>
      </c>
      <c r="H179" s="1">
        <v>89</v>
      </c>
      <c r="I179" s="1">
        <v>1442</v>
      </c>
      <c r="J179" s="2">
        <v>5096</v>
      </c>
      <c r="K179" s="1">
        <v>16.202247191011235</v>
      </c>
      <c r="L179" s="1">
        <v>3.5339805825242721</v>
      </c>
      <c r="M179" s="1">
        <v>57.258426966292134</v>
      </c>
      <c r="N17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0" spans="1:14" x14ac:dyDescent="0.3">
      <c r="A180">
        <v>2021</v>
      </c>
      <c r="B180" t="s">
        <v>0</v>
      </c>
      <c r="C180">
        <v>9</v>
      </c>
      <c r="D180" t="s">
        <v>132</v>
      </c>
      <c r="E180">
        <v>660</v>
      </c>
      <c r="F180" t="s">
        <v>2</v>
      </c>
      <c r="G180" t="s">
        <v>13</v>
      </c>
      <c r="H180" s="1">
        <v>33</v>
      </c>
      <c r="I180" s="1">
        <v>314</v>
      </c>
      <c r="J180" s="2">
        <v>766</v>
      </c>
      <c r="K180" s="1">
        <v>9.5151515151515156</v>
      </c>
      <c r="L180" s="1">
        <v>2.4394904458598727</v>
      </c>
      <c r="M180" s="1">
        <v>23.212121212121211</v>
      </c>
      <c r="N18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1" spans="1:14" x14ac:dyDescent="0.3">
      <c r="A181">
        <v>2021</v>
      </c>
      <c r="B181" t="s">
        <v>23</v>
      </c>
      <c r="C181">
        <v>24</v>
      </c>
      <c r="D181" t="s">
        <v>215</v>
      </c>
      <c r="E181">
        <v>460</v>
      </c>
      <c r="F181" t="s">
        <v>25</v>
      </c>
      <c r="G181" t="s">
        <v>3</v>
      </c>
      <c r="H181" s="1">
        <v>68</v>
      </c>
      <c r="I181" s="1">
        <v>944</v>
      </c>
      <c r="J181" s="2">
        <v>3600</v>
      </c>
      <c r="K181" s="1">
        <v>13.882352941176471</v>
      </c>
      <c r="L181" s="1">
        <v>3.8135593220338984</v>
      </c>
      <c r="M181" s="1">
        <v>52.941176470588232</v>
      </c>
      <c r="N18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2" spans="1:14" x14ac:dyDescent="0.3">
      <c r="A182">
        <v>2021</v>
      </c>
      <c r="B182" t="s">
        <v>7</v>
      </c>
      <c r="C182">
        <v>33</v>
      </c>
      <c r="D182" t="s">
        <v>217</v>
      </c>
      <c r="E182">
        <v>570</v>
      </c>
      <c r="F182" t="s">
        <v>9</v>
      </c>
      <c r="G182" t="s">
        <v>3</v>
      </c>
      <c r="H182" s="1">
        <v>0</v>
      </c>
      <c r="I182" s="1">
        <v>0</v>
      </c>
      <c r="J182" s="2">
        <v>0</v>
      </c>
      <c r="K182" s="1">
        <v>0</v>
      </c>
      <c r="L182" s="1">
        <v>0</v>
      </c>
      <c r="M182" s="1">
        <v>0</v>
      </c>
      <c r="N18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83" spans="1:14" x14ac:dyDescent="0.3">
      <c r="A183">
        <v>2021</v>
      </c>
      <c r="B183" t="s">
        <v>38</v>
      </c>
      <c r="C183">
        <v>23</v>
      </c>
      <c r="D183" t="s">
        <v>218</v>
      </c>
      <c r="E183">
        <v>411</v>
      </c>
      <c r="F183" t="s">
        <v>2</v>
      </c>
      <c r="G183" t="s">
        <v>3</v>
      </c>
      <c r="H183" s="1">
        <v>49</v>
      </c>
      <c r="I183" s="1">
        <v>790</v>
      </c>
      <c r="J183" s="2">
        <v>1841</v>
      </c>
      <c r="K183" s="1">
        <v>16.122448979591837</v>
      </c>
      <c r="L183" s="1">
        <v>2.330379746835443</v>
      </c>
      <c r="M183" s="1">
        <v>37.571428571428569</v>
      </c>
      <c r="N18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4" spans="1:14" x14ac:dyDescent="0.3">
      <c r="A184">
        <v>2021</v>
      </c>
      <c r="B184" t="s">
        <v>14</v>
      </c>
      <c r="C184">
        <v>21</v>
      </c>
      <c r="D184" t="s">
        <v>100</v>
      </c>
      <c r="E184">
        <v>354</v>
      </c>
      <c r="F184" t="s">
        <v>6</v>
      </c>
      <c r="G184" t="s">
        <v>27</v>
      </c>
      <c r="H184" s="1">
        <v>105</v>
      </c>
      <c r="I184" s="1">
        <v>1100</v>
      </c>
      <c r="J184" s="2">
        <v>9731</v>
      </c>
      <c r="K184" s="1">
        <v>10.476190476190476</v>
      </c>
      <c r="L184" s="1">
        <v>8.8463636363636358</v>
      </c>
      <c r="M184" s="1">
        <v>92.67619047619047</v>
      </c>
      <c r="N18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185" spans="1:14" x14ac:dyDescent="0.3">
      <c r="A185">
        <v>2021</v>
      </c>
      <c r="B185" t="s">
        <v>7</v>
      </c>
      <c r="C185">
        <v>33</v>
      </c>
      <c r="D185" t="s">
        <v>222</v>
      </c>
      <c r="E185">
        <v>587</v>
      </c>
      <c r="F185" t="s">
        <v>9</v>
      </c>
      <c r="G185" t="s">
        <v>13</v>
      </c>
      <c r="H185" s="1">
        <v>20</v>
      </c>
      <c r="I185" s="1">
        <v>199</v>
      </c>
      <c r="J185" s="2">
        <v>448</v>
      </c>
      <c r="K185" s="1">
        <v>9.9499999999999993</v>
      </c>
      <c r="L185" s="1">
        <v>2.2512562814070352</v>
      </c>
      <c r="M185" s="1">
        <v>22.4</v>
      </c>
      <c r="N18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6" spans="1:14" x14ac:dyDescent="0.3">
      <c r="A186">
        <v>2021</v>
      </c>
      <c r="B186" t="s">
        <v>0</v>
      </c>
      <c r="C186">
        <v>9</v>
      </c>
      <c r="D186" t="s">
        <v>84</v>
      </c>
      <c r="E186">
        <v>176</v>
      </c>
      <c r="F186" t="s">
        <v>2</v>
      </c>
      <c r="G186" t="s">
        <v>27</v>
      </c>
      <c r="H186" s="1">
        <v>0</v>
      </c>
      <c r="I186" s="1">
        <v>0</v>
      </c>
      <c r="J186" s="2">
        <v>0</v>
      </c>
      <c r="K186" s="1">
        <v>0</v>
      </c>
      <c r="L186" s="1">
        <v>0</v>
      </c>
      <c r="M186" s="1">
        <v>0</v>
      </c>
      <c r="N18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87" spans="1:14" x14ac:dyDescent="0.3">
      <c r="A187">
        <v>2021</v>
      </c>
      <c r="B187" t="s">
        <v>196</v>
      </c>
      <c r="C187">
        <v>16</v>
      </c>
      <c r="D187" t="s">
        <v>197</v>
      </c>
      <c r="E187">
        <v>270</v>
      </c>
      <c r="F187" t="s">
        <v>12</v>
      </c>
      <c r="G187" t="s">
        <v>3</v>
      </c>
      <c r="H187" s="1">
        <v>0</v>
      </c>
      <c r="I187" s="1">
        <v>0</v>
      </c>
      <c r="J187" s="2">
        <v>0</v>
      </c>
      <c r="K187" s="1">
        <v>0</v>
      </c>
      <c r="L187" s="1">
        <v>0</v>
      </c>
      <c r="M187" s="1">
        <v>0</v>
      </c>
      <c r="N18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88" spans="1:14" x14ac:dyDescent="0.3">
      <c r="A188">
        <v>2021</v>
      </c>
      <c r="B188" t="s">
        <v>44</v>
      </c>
      <c r="C188">
        <v>3</v>
      </c>
      <c r="D188" t="s">
        <v>231</v>
      </c>
      <c r="E188">
        <v>651</v>
      </c>
      <c r="F188" t="s">
        <v>20</v>
      </c>
      <c r="G188" t="s">
        <v>13</v>
      </c>
      <c r="H188" s="1">
        <v>82</v>
      </c>
      <c r="I188" s="1">
        <v>746</v>
      </c>
      <c r="J188" s="2">
        <v>1775</v>
      </c>
      <c r="K188" s="1">
        <v>9.0975609756097562</v>
      </c>
      <c r="L188" s="1">
        <v>2.3793565683646114</v>
      </c>
      <c r="M188" s="1">
        <v>21.646341463414632</v>
      </c>
      <c r="N18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89" spans="1:14" x14ac:dyDescent="0.3">
      <c r="A189">
        <v>2021</v>
      </c>
      <c r="B189" t="s">
        <v>53</v>
      </c>
      <c r="C189">
        <v>27</v>
      </c>
      <c r="D189" t="s">
        <v>240</v>
      </c>
      <c r="E189">
        <v>189</v>
      </c>
      <c r="F189" t="s">
        <v>25</v>
      </c>
      <c r="G189" t="s">
        <v>3</v>
      </c>
      <c r="H189" s="1">
        <v>0</v>
      </c>
      <c r="I189" s="1">
        <v>0</v>
      </c>
      <c r="J189" s="2">
        <v>0</v>
      </c>
      <c r="K189" s="1">
        <v>0</v>
      </c>
      <c r="L189" s="1">
        <v>0</v>
      </c>
      <c r="M189" s="1">
        <v>0</v>
      </c>
      <c r="N18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0" spans="1:14" x14ac:dyDescent="0.3">
      <c r="A190">
        <v>2021</v>
      </c>
      <c r="B190" t="s">
        <v>0</v>
      </c>
      <c r="C190">
        <v>9</v>
      </c>
      <c r="D190" t="s">
        <v>247</v>
      </c>
      <c r="E190">
        <v>187</v>
      </c>
      <c r="F190" t="s">
        <v>2</v>
      </c>
      <c r="G190" t="s">
        <v>3</v>
      </c>
      <c r="H190" s="1">
        <v>34</v>
      </c>
      <c r="I190" s="1">
        <v>595</v>
      </c>
      <c r="J190" s="2">
        <v>2266</v>
      </c>
      <c r="K190" s="1">
        <v>17.5</v>
      </c>
      <c r="L190" s="1">
        <v>3.8084033613445376</v>
      </c>
      <c r="M190" s="1">
        <v>66.647058823529406</v>
      </c>
      <c r="N19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91" spans="1:14" x14ac:dyDescent="0.3">
      <c r="A191">
        <v>2021</v>
      </c>
      <c r="B191" t="s">
        <v>70</v>
      </c>
      <c r="C191">
        <v>1</v>
      </c>
      <c r="D191" t="s">
        <v>248</v>
      </c>
      <c r="E191">
        <v>14</v>
      </c>
      <c r="F191" t="s">
        <v>20</v>
      </c>
      <c r="G191" t="s">
        <v>13</v>
      </c>
      <c r="H191" s="1">
        <v>0</v>
      </c>
      <c r="I191" s="1">
        <v>0</v>
      </c>
      <c r="J191" s="2">
        <v>0</v>
      </c>
      <c r="K191" s="1">
        <v>0</v>
      </c>
      <c r="L191" s="1">
        <v>0</v>
      </c>
      <c r="M191" s="1">
        <v>0</v>
      </c>
      <c r="N19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2" spans="1:14" x14ac:dyDescent="0.3">
      <c r="A192">
        <v>2021</v>
      </c>
      <c r="B192" t="s">
        <v>23</v>
      </c>
      <c r="C192">
        <v>24</v>
      </c>
      <c r="D192" t="s">
        <v>26</v>
      </c>
      <c r="E192">
        <v>451</v>
      </c>
      <c r="F192" t="s">
        <v>25</v>
      </c>
      <c r="G192" t="s">
        <v>3</v>
      </c>
      <c r="H192" s="1">
        <v>0</v>
      </c>
      <c r="I192" s="1">
        <v>0</v>
      </c>
      <c r="J192" s="2">
        <v>0</v>
      </c>
      <c r="K192" s="1">
        <v>0</v>
      </c>
      <c r="L192" s="1">
        <v>0</v>
      </c>
      <c r="M192" s="1">
        <v>0</v>
      </c>
      <c r="N19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3" spans="1:14" x14ac:dyDescent="0.3">
      <c r="A193">
        <v>2021</v>
      </c>
      <c r="B193" t="s">
        <v>196</v>
      </c>
      <c r="C193">
        <v>16</v>
      </c>
      <c r="D193" t="s">
        <v>254</v>
      </c>
      <c r="E193">
        <v>654</v>
      </c>
      <c r="F193" t="s">
        <v>12</v>
      </c>
      <c r="G193" t="s">
        <v>13</v>
      </c>
      <c r="H193" s="1">
        <v>42</v>
      </c>
      <c r="I193" s="1">
        <v>430</v>
      </c>
      <c r="J193" s="2">
        <v>1148</v>
      </c>
      <c r="K193" s="1">
        <v>10.238095238095237</v>
      </c>
      <c r="L193" s="1">
        <v>2.6697674418604653</v>
      </c>
      <c r="M193" s="1">
        <v>27.333333333333332</v>
      </c>
      <c r="N19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94" spans="1:14" x14ac:dyDescent="0.3">
      <c r="A194">
        <v>2021</v>
      </c>
      <c r="B194" t="s">
        <v>77</v>
      </c>
      <c r="C194">
        <v>8</v>
      </c>
      <c r="D194" t="s">
        <v>78</v>
      </c>
      <c r="E194">
        <v>89</v>
      </c>
      <c r="F194" t="s">
        <v>20</v>
      </c>
      <c r="G194" t="s">
        <v>3</v>
      </c>
      <c r="H194" s="1">
        <v>0</v>
      </c>
      <c r="I194" s="1">
        <v>0</v>
      </c>
      <c r="J194" s="2">
        <v>0</v>
      </c>
      <c r="K194" s="1">
        <v>0</v>
      </c>
      <c r="L194" s="1">
        <v>0</v>
      </c>
      <c r="M194" s="1">
        <v>0</v>
      </c>
      <c r="N19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5" spans="1:14" x14ac:dyDescent="0.3">
      <c r="A195">
        <v>2021</v>
      </c>
      <c r="B195" t="s">
        <v>38</v>
      </c>
      <c r="C195">
        <v>23</v>
      </c>
      <c r="D195" t="s">
        <v>253</v>
      </c>
      <c r="E195">
        <v>425</v>
      </c>
      <c r="F195" t="s">
        <v>2</v>
      </c>
      <c r="G195" t="s">
        <v>3</v>
      </c>
      <c r="H195" s="1">
        <v>84</v>
      </c>
      <c r="I195" s="1">
        <v>1781</v>
      </c>
      <c r="J195" s="2">
        <v>3538</v>
      </c>
      <c r="K195" s="1">
        <v>21.202380952380953</v>
      </c>
      <c r="L195" s="1">
        <v>1.9865244244806288</v>
      </c>
      <c r="M195" s="1">
        <v>42.11904761904762</v>
      </c>
      <c r="N19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96" spans="1:14" x14ac:dyDescent="0.3">
      <c r="A196">
        <v>2021</v>
      </c>
      <c r="B196" t="s">
        <v>38</v>
      </c>
      <c r="C196">
        <v>23</v>
      </c>
      <c r="D196" t="s">
        <v>259</v>
      </c>
      <c r="E196">
        <v>402</v>
      </c>
      <c r="F196" t="s">
        <v>2</v>
      </c>
      <c r="G196" t="s">
        <v>27</v>
      </c>
      <c r="H196" s="1">
        <v>51</v>
      </c>
      <c r="I196" s="1">
        <v>749</v>
      </c>
      <c r="J196" s="2">
        <v>3497</v>
      </c>
      <c r="K196" s="1">
        <v>14.686274509803921</v>
      </c>
      <c r="L196" s="1">
        <v>4.6688918558077432</v>
      </c>
      <c r="M196" s="1">
        <v>68.568627450980387</v>
      </c>
      <c r="N19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197" spans="1:14" x14ac:dyDescent="0.3">
      <c r="A197">
        <v>2021</v>
      </c>
      <c r="B197" t="s">
        <v>77</v>
      </c>
      <c r="C197">
        <v>8</v>
      </c>
      <c r="D197" t="s">
        <v>263</v>
      </c>
      <c r="E197">
        <v>102</v>
      </c>
      <c r="F197" t="s">
        <v>20</v>
      </c>
      <c r="G197" t="s">
        <v>3</v>
      </c>
      <c r="H197" s="1">
        <v>0</v>
      </c>
      <c r="I197" s="1">
        <v>0</v>
      </c>
      <c r="J197" s="2">
        <v>0</v>
      </c>
      <c r="K197" s="1">
        <v>0</v>
      </c>
      <c r="L197" s="1">
        <v>0</v>
      </c>
      <c r="M197" s="1">
        <v>0</v>
      </c>
      <c r="N19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8" spans="1:14" x14ac:dyDescent="0.3">
      <c r="A198">
        <v>2021</v>
      </c>
      <c r="B198" t="s">
        <v>0</v>
      </c>
      <c r="C198">
        <v>9</v>
      </c>
      <c r="D198" t="s">
        <v>102</v>
      </c>
      <c r="E198">
        <v>125</v>
      </c>
      <c r="F198" t="s">
        <v>2</v>
      </c>
      <c r="G198" t="s">
        <v>13</v>
      </c>
      <c r="H198" s="1">
        <v>0</v>
      </c>
      <c r="I198" s="1">
        <v>0</v>
      </c>
      <c r="J198" s="2">
        <v>0</v>
      </c>
      <c r="K198" s="1">
        <v>0</v>
      </c>
      <c r="L198" s="1">
        <v>0</v>
      </c>
      <c r="M198" s="1">
        <v>0</v>
      </c>
      <c r="N19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199" spans="1:14" x14ac:dyDescent="0.3">
      <c r="A199">
        <v>2021</v>
      </c>
      <c r="B199" t="s">
        <v>23</v>
      </c>
      <c r="C199">
        <v>24</v>
      </c>
      <c r="D199" t="s">
        <v>234</v>
      </c>
      <c r="E199">
        <v>442</v>
      </c>
      <c r="F199" t="s">
        <v>25</v>
      </c>
      <c r="G199" t="s">
        <v>13</v>
      </c>
      <c r="H199" s="1">
        <v>0</v>
      </c>
      <c r="I199" s="1">
        <v>0</v>
      </c>
      <c r="J199" s="2">
        <v>0</v>
      </c>
      <c r="K199" s="1">
        <v>0</v>
      </c>
      <c r="L199" s="1">
        <v>0</v>
      </c>
      <c r="M199" s="1">
        <v>0</v>
      </c>
      <c r="N19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0" spans="1:14" x14ac:dyDescent="0.3">
      <c r="A200">
        <v>2021</v>
      </c>
      <c r="B200" t="s">
        <v>38</v>
      </c>
      <c r="C200">
        <v>23</v>
      </c>
      <c r="D200" t="s">
        <v>268</v>
      </c>
      <c r="E200">
        <v>423</v>
      </c>
      <c r="F200" t="s">
        <v>2</v>
      </c>
      <c r="G200" t="s">
        <v>3</v>
      </c>
      <c r="H200" s="1">
        <v>38</v>
      </c>
      <c r="I200" s="1">
        <v>777</v>
      </c>
      <c r="J200" s="2">
        <v>1384</v>
      </c>
      <c r="K200" s="1">
        <v>20.44736842105263</v>
      </c>
      <c r="L200" s="1">
        <v>1.7812097812097811</v>
      </c>
      <c r="M200" s="1">
        <v>36.421052631578945</v>
      </c>
      <c r="N20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01" spans="1:14" x14ac:dyDescent="0.3">
      <c r="A201">
        <v>2021</v>
      </c>
      <c r="B201" t="s">
        <v>77</v>
      </c>
      <c r="C201">
        <v>8</v>
      </c>
      <c r="D201" t="s">
        <v>272</v>
      </c>
      <c r="E201">
        <v>100</v>
      </c>
      <c r="F201" t="s">
        <v>20</v>
      </c>
      <c r="G201" t="s">
        <v>3</v>
      </c>
      <c r="H201" s="1">
        <v>114</v>
      </c>
      <c r="I201" s="1">
        <v>1391</v>
      </c>
      <c r="J201" s="2">
        <v>4573</v>
      </c>
      <c r="K201" s="1">
        <v>12.201754385964913</v>
      </c>
      <c r="L201" s="1">
        <v>3.2875629043853345</v>
      </c>
      <c r="M201" s="1">
        <v>40.114035087719301</v>
      </c>
      <c r="N20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02" spans="1:14" x14ac:dyDescent="0.3">
      <c r="A202">
        <v>2021</v>
      </c>
      <c r="B202" t="s">
        <v>10</v>
      </c>
      <c r="C202">
        <v>18</v>
      </c>
      <c r="D202" t="s">
        <v>278</v>
      </c>
      <c r="E202">
        <v>292</v>
      </c>
      <c r="F202" t="s">
        <v>12</v>
      </c>
      <c r="G202" t="s">
        <v>3</v>
      </c>
      <c r="H202" s="1">
        <v>25</v>
      </c>
      <c r="I202" s="1">
        <v>256</v>
      </c>
      <c r="J202" s="2">
        <v>1331</v>
      </c>
      <c r="K202" s="1">
        <v>10.24</v>
      </c>
      <c r="L202" s="1">
        <v>5.19921875</v>
      </c>
      <c r="M202" s="1">
        <v>53.24</v>
      </c>
      <c r="N20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03" spans="1:14" x14ac:dyDescent="0.3">
      <c r="A203">
        <v>2021</v>
      </c>
      <c r="B203" t="s">
        <v>53</v>
      </c>
      <c r="C203">
        <v>27</v>
      </c>
      <c r="D203" t="s">
        <v>85</v>
      </c>
      <c r="E203">
        <v>484</v>
      </c>
      <c r="F203" t="s">
        <v>25</v>
      </c>
      <c r="G203" t="s">
        <v>3</v>
      </c>
      <c r="H203" s="1">
        <v>0</v>
      </c>
      <c r="I203" s="1">
        <v>0</v>
      </c>
      <c r="J203" s="2">
        <v>0</v>
      </c>
      <c r="K203" s="1">
        <v>0</v>
      </c>
      <c r="L203" s="1">
        <v>0</v>
      </c>
      <c r="M203" s="1">
        <v>0</v>
      </c>
      <c r="N20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4" spans="1:14" x14ac:dyDescent="0.3">
      <c r="A204">
        <v>2021</v>
      </c>
      <c r="B204" t="s">
        <v>38</v>
      </c>
      <c r="C204">
        <v>23</v>
      </c>
      <c r="D204" t="s">
        <v>283</v>
      </c>
      <c r="E204">
        <v>390</v>
      </c>
      <c r="F204" t="s">
        <v>2</v>
      </c>
      <c r="G204" t="s">
        <v>3</v>
      </c>
      <c r="H204" s="1">
        <v>30</v>
      </c>
      <c r="I204" s="1">
        <v>536</v>
      </c>
      <c r="J204" s="2">
        <v>2674</v>
      </c>
      <c r="K204" s="1">
        <v>17.866666666666667</v>
      </c>
      <c r="L204" s="1">
        <v>4.9888059701492535</v>
      </c>
      <c r="M204" s="1">
        <v>89.13333333333334</v>
      </c>
      <c r="N20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05" spans="1:14" x14ac:dyDescent="0.3">
      <c r="A205">
        <v>2021</v>
      </c>
      <c r="B205" t="s">
        <v>81</v>
      </c>
      <c r="C205">
        <v>12</v>
      </c>
      <c r="D205" t="s">
        <v>285</v>
      </c>
      <c r="E205">
        <v>237</v>
      </c>
      <c r="F205" t="s">
        <v>12</v>
      </c>
      <c r="G205" t="s">
        <v>13</v>
      </c>
      <c r="H205" s="1">
        <v>0</v>
      </c>
      <c r="I205" s="1">
        <v>0</v>
      </c>
      <c r="J205" s="2">
        <v>0</v>
      </c>
      <c r="K205" s="1">
        <v>0</v>
      </c>
      <c r="L205" s="1">
        <v>0</v>
      </c>
      <c r="M205" s="1">
        <v>0</v>
      </c>
      <c r="N20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6" spans="1:14" x14ac:dyDescent="0.3">
      <c r="A206">
        <v>2021</v>
      </c>
      <c r="B206" t="s">
        <v>7</v>
      </c>
      <c r="C206">
        <v>33</v>
      </c>
      <c r="D206" t="s">
        <v>287</v>
      </c>
      <c r="E206">
        <v>579</v>
      </c>
      <c r="F206" t="s">
        <v>9</v>
      </c>
      <c r="G206" t="s">
        <v>27</v>
      </c>
      <c r="H206" s="1">
        <v>0</v>
      </c>
      <c r="I206" s="1">
        <v>0</v>
      </c>
      <c r="J206" s="2">
        <v>0</v>
      </c>
      <c r="K206" s="1">
        <v>0</v>
      </c>
      <c r="L206" s="1">
        <v>0</v>
      </c>
      <c r="M206" s="1">
        <v>0</v>
      </c>
      <c r="N20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7" spans="1:14" x14ac:dyDescent="0.3">
      <c r="A207">
        <v>2021</v>
      </c>
      <c r="B207" t="s">
        <v>10</v>
      </c>
      <c r="C207">
        <v>18</v>
      </c>
      <c r="D207" t="s">
        <v>162</v>
      </c>
      <c r="E207">
        <v>296</v>
      </c>
      <c r="F207" t="s">
        <v>12</v>
      </c>
      <c r="G207" t="s">
        <v>13</v>
      </c>
      <c r="H207" s="1">
        <v>40</v>
      </c>
      <c r="I207" s="1">
        <v>931</v>
      </c>
      <c r="J207" s="2">
        <v>607</v>
      </c>
      <c r="K207" s="1">
        <v>23.274999999999999</v>
      </c>
      <c r="L207" s="1">
        <v>0.65198711063372716</v>
      </c>
      <c r="M207" s="1">
        <v>15.175000000000001</v>
      </c>
      <c r="N20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08" spans="1:14" x14ac:dyDescent="0.3">
      <c r="A208">
        <v>2021</v>
      </c>
      <c r="B208" t="s">
        <v>70</v>
      </c>
      <c r="C208">
        <v>1</v>
      </c>
      <c r="D208" t="s">
        <v>292</v>
      </c>
      <c r="E208">
        <v>5</v>
      </c>
      <c r="F208" t="s">
        <v>20</v>
      </c>
      <c r="G208" t="s">
        <v>13</v>
      </c>
      <c r="H208" s="1">
        <v>91</v>
      </c>
      <c r="I208" s="1">
        <v>1034</v>
      </c>
      <c r="J208" s="2">
        <v>4968</v>
      </c>
      <c r="K208" s="1">
        <v>11.362637362637363</v>
      </c>
      <c r="L208" s="1">
        <v>4.8046421663442942</v>
      </c>
      <c r="M208" s="1">
        <v>54.593406593406591</v>
      </c>
      <c r="N20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09" spans="1:14" x14ac:dyDescent="0.3">
      <c r="A209">
        <v>2021</v>
      </c>
      <c r="B209" t="s">
        <v>0</v>
      </c>
      <c r="C209">
        <v>9</v>
      </c>
      <c r="D209" t="s">
        <v>49</v>
      </c>
      <c r="E209">
        <v>121</v>
      </c>
      <c r="F209" t="s">
        <v>2</v>
      </c>
      <c r="G209" t="s">
        <v>3</v>
      </c>
      <c r="H209" s="1">
        <v>47</v>
      </c>
      <c r="I209" s="1">
        <v>1002</v>
      </c>
      <c r="J209" s="2">
        <v>2736</v>
      </c>
      <c r="K209" s="1">
        <v>21.319148936170212</v>
      </c>
      <c r="L209" s="1">
        <v>2.7305389221556888</v>
      </c>
      <c r="M209" s="1">
        <v>58.212765957446805</v>
      </c>
      <c r="N20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10" spans="1:14" x14ac:dyDescent="0.3">
      <c r="A210">
        <v>2021</v>
      </c>
      <c r="B210" t="s">
        <v>58</v>
      </c>
      <c r="C210">
        <v>28</v>
      </c>
      <c r="D210" t="s">
        <v>59</v>
      </c>
      <c r="E210">
        <v>520</v>
      </c>
      <c r="F210" t="s">
        <v>9</v>
      </c>
      <c r="G210" t="s">
        <v>13</v>
      </c>
      <c r="H210" s="1">
        <v>0</v>
      </c>
      <c r="I210" s="1">
        <v>0</v>
      </c>
      <c r="J210" s="2">
        <v>0</v>
      </c>
      <c r="K210" s="1">
        <v>0</v>
      </c>
      <c r="L210" s="1">
        <v>0</v>
      </c>
      <c r="M210" s="1">
        <v>0</v>
      </c>
      <c r="N21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11" spans="1:14" x14ac:dyDescent="0.3">
      <c r="A211">
        <v>2021</v>
      </c>
      <c r="B211" t="s">
        <v>79</v>
      </c>
      <c r="C211">
        <v>20</v>
      </c>
      <c r="D211" t="s">
        <v>297</v>
      </c>
      <c r="E211">
        <v>322</v>
      </c>
      <c r="F211" t="s">
        <v>6</v>
      </c>
      <c r="G211" t="s">
        <v>13</v>
      </c>
      <c r="H211" s="1">
        <v>78</v>
      </c>
      <c r="I211" s="1">
        <v>1424</v>
      </c>
      <c r="J211" s="2">
        <v>4445</v>
      </c>
      <c r="K211" s="1">
        <v>18.256410256410255</v>
      </c>
      <c r="L211" s="1">
        <v>3.121488764044944</v>
      </c>
      <c r="M211" s="1">
        <v>56.987179487179489</v>
      </c>
      <c r="N21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12" spans="1:14" x14ac:dyDescent="0.3">
      <c r="A212">
        <v>2021</v>
      </c>
      <c r="B212" t="s">
        <v>77</v>
      </c>
      <c r="C212">
        <v>8</v>
      </c>
      <c r="D212" t="s">
        <v>298</v>
      </c>
      <c r="E212">
        <v>94</v>
      </c>
      <c r="F212" t="s">
        <v>20</v>
      </c>
      <c r="G212" t="s">
        <v>27</v>
      </c>
      <c r="H212" s="1">
        <v>0</v>
      </c>
      <c r="I212" s="1">
        <v>0</v>
      </c>
      <c r="J212" s="2">
        <v>0</v>
      </c>
      <c r="K212" s="1">
        <v>0</v>
      </c>
      <c r="L212" s="1">
        <v>0</v>
      </c>
      <c r="M212" s="1">
        <v>0</v>
      </c>
      <c r="N21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13" spans="1:14" x14ac:dyDescent="0.3">
      <c r="A213">
        <v>2021</v>
      </c>
      <c r="B213" t="s">
        <v>0</v>
      </c>
      <c r="C213">
        <v>9</v>
      </c>
      <c r="D213" t="s">
        <v>301</v>
      </c>
      <c r="E213">
        <v>649</v>
      </c>
      <c r="F213" t="s">
        <v>2</v>
      </c>
      <c r="G213" t="s">
        <v>13</v>
      </c>
      <c r="H213" s="1">
        <v>0</v>
      </c>
      <c r="I213" s="1">
        <v>0</v>
      </c>
      <c r="J213" s="2">
        <v>0</v>
      </c>
      <c r="K213" s="1">
        <v>0</v>
      </c>
      <c r="L213" s="1">
        <v>0</v>
      </c>
      <c r="M213" s="1">
        <v>0</v>
      </c>
      <c r="N21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14" spans="1:14" x14ac:dyDescent="0.3">
      <c r="A214">
        <v>2021</v>
      </c>
      <c r="B214" t="s">
        <v>77</v>
      </c>
      <c r="C214">
        <v>8</v>
      </c>
      <c r="D214" t="s">
        <v>181</v>
      </c>
      <c r="E214">
        <v>629</v>
      </c>
      <c r="F214" t="s">
        <v>20</v>
      </c>
      <c r="G214" t="s">
        <v>3</v>
      </c>
      <c r="H214" s="1">
        <v>0</v>
      </c>
      <c r="I214" s="1">
        <v>0</v>
      </c>
      <c r="J214" s="2">
        <v>0</v>
      </c>
      <c r="K214" s="1">
        <v>0</v>
      </c>
      <c r="L214" s="1">
        <v>0</v>
      </c>
      <c r="M214" s="1">
        <v>0</v>
      </c>
      <c r="N21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15" spans="1:14" x14ac:dyDescent="0.3">
      <c r="A215">
        <v>2021</v>
      </c>
      <c r="B215" t="s">
        <v>14</v>
      </c>
      <c r="C215">
        <v>21</v>
      </c>
      <c r="D215" t="s">
        <v>306</v>
      </c>
      <c r="E215">
        <v>358</v>
      </c>
      <c r="F215" t="s">
        <v>6</v>
      </c>
      <c r="G215" t="s">
        <v>3</v>
      </c>
      <c r="H215" s="1">
        <v>60</v>
      </c>
      <c r="I215" s="1">
        <v>663</v>
      </c>
      <c r="J215" s="2">
        <v>2800</v>
      </c>
      <c r="K215" s="1">
        <v>11.05</v>
      </c>
      <c r="L215" s="1">
        <v>4.2232277526395174</v>
      </c>
      <c r="M215" s="1">
        <v>46.666666666666664</v>
      </c>
      <c r="N21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16" spans="1:14" x14ac:dyDescent="0.3">
      <c r="A216">
        <v>2021</v>
      </c>
      <c r="B216" t="s">
        <v>28</v>
      </c>
      <c r="C216">
        <v>36</v>
      </c>
      <c r="D216" t="s">
        <v>309</v>
      </c>
      <c r="E216">
        <v>700</v>
      </c>
      <c r="F216" t="s">
        <v>9</v>
      </c>
      <c r="G216" t="s">
        <v>13</v>
      </c>
      <c r="H216" s="1">
        <v>38</v>
      </c>
      <c r="I216" s="1">
        <v>335</v>
      </c>
      <c r="J216" s="2">
        <v>2675</v>
      </c>
      <c r="K216" s="1">
        <v>8.8157894736842106</v>
      </c>
      <c r="L216" s="1">
        <v>7.9850746268656714</v>
      </c>
      <c r="M216" s="1">
        <v>70.39473684210526</v>
      </c>
      <c r="N21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17" spans="1:14" x14ac:dyDescent="0.3">
      <c r="A217">
        <v>2021</v>
      </c>
      <c r="B217" t="s">
        <v>10</v>
      </c>
      <c r="C217">
        <v>18</v>
      </c>
      <c r="D217" t="s">
        <v>312</v>
      </c>
      <c r="E217">
        <v>281</v>
      </c>
      <c r="F217" t="s">
        <v>12</v>
      </c>
      <c r="G217" t="s">
        <v>13</v>
      </c>
      <c r="H217" s="1">
        <v>0</v>
      </c>
      <c r="I217" s="1">
        <v>0</v>
      </c>
      <c r="J217" s="2">
        <v>0</v>
      </c>
      <c r="K217" s="1">
        <v>0</v>
      </c>
      <c r="L217" s="1">
        <v>0</v>
      </c>
      <c r="M217" s="1">
        <v>0</v>
      </c>
      <c r="N21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18" spans="1:14" x14ac:dyDescent="0.3">
      <c r="A218">
        <v>2021</v>
      </c>
      <c r="B218" t="s">
        <v>10</v>
      </c>
      <c r="C218">
        <v>18</v>
      </c>
      <c r="D218" t="s">
        <v>313</v>
      </c>
      <c r="E218">
        <v>612</v>
      </c>
      <c r="F218" t="s">
        <v>12</v>
      </c>
      <c r="G218" t="s">
        <v>3</v>
      </c>
      <c r="H218" s="1">
        <v>10</v>
      </c>
      <c r="I218" s="1">
        <v>198</v>
      </c>
      <c r="J218" s="2">
        <v>344</v>
      </c>
      <c r="K218" s="1">
        <v>19.8</v>
      </c>
      <c r="L218" s="1">
        <v>1.7373737373737375</v>
      </c>
      <c r="M218" s="1">
        <v>34.4</v>
      </c>
      <c r="N21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19" spans="1:14" x14ac:dyDescent="0.3">
      <c r="A219">
        <v>2021</v>
      </c>
      <c r="B219" t="s">
        <v>77</v>
      </c>
      <c r="C219">
        <v>8</v>
      </c>
      <c r="D219" t="s">
        <v>280</v>
      </c>
      <c r="E219">
        <v>108</v>
      </c>
      <c r="F219" t="s">
        <v>20</v>
      </c>
      <c r="G219" t="s">
        <v>3</v>
      </c>
      <c r="H219" s="1">
        <v>0</v>
      </c>
      <c r="I219" s="1">
        <v>0</v>
      </c>
      <c r="J219" s="2">
        <v>0</v>
      </c>
      <c r="K219" s="1">
        <v>0</v>
      </c>
      <c r="L219" s="1">
        <v>0</v>
      </c>
      <c r="M219" s="1">
        <v>0</v>
      </c>
      <c r="N21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0" spans="1:14" x14ac:dyDescent="0.3">
      <c r="A220">
        <v>2021</v>
      </c>
      <c r="B220" t="s">
        <v>316</v>
      </c>
      <c r="C220">
        <v>30</v>
      </c>
      <c r="D220" t="s">
        <v>317</v>
      </c>
      <c r="E220">
        <v>552</v>
      </c>
      <c r="F220" t="s">
        <v>25</v>
      </c>
      <c r="G220" t="s">
        <v>13</v>
      </c>
      <c r="H220" s="1">
        <v>109</v>
      </c>
      <c r="I220" s="1">
        <v>811</v>
      </c>
      <c r="J220" s="2">
        <v>8664</v>
      </c>
      <c r="K220" s="1">
        <v>7.4403669724770642</v>
      </c>
      <c r="L220" s="1">
        <v>10.683107274969174</v>
      </c>
      <c r="M220" s="1">
        <v>79.486238532110093</v>
      </c>
      <c r="N22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21" spans="1:14" x14ac:dyDescent="0.3">
      <c r="A221">
        <v>2021</v>
      </c>
      <c r="B221" t="s">
        <v>4</v>
      </c>
      <c r="C221">
        <v>10</v>
      </c>
      <c r="D221" t="s">
        <v>320</v>
      </c>
      <c r="E221">
        <v>222</v>
      </c>
      <c r="F221" t="s">
        <v>6</v>
      </c>
      <c r="G221" t="s">
        <v>3</v>
      </c>
      <c r="H221" s="1">
        <v>58</v>
      </c>
      <c r="I221" s="1">
        <v>1587</v>
      </c>
      <c r="J221" s="2">
        <v>3291</v>
      </c>
      <c r="K221" s="1">
        <v>27.362068965517242</v>
      </c>
      <c r="L221" s="1">
        <v>2.0737240075614367</v>
      </c>
      <c r="M221" s="1">
        <v>56.741379310344826</v>
      </c>
      <c r="N22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22" spans="1:14" x14ac:dyDescent="0.3">
      <c r="A222">
        <v>2021</v>
      </c>
      <c r="B222" t="s">
        <v>74</v>
      </c>
      <c r="C222">
        <v>13</v>
      </c>
      <c r="D222" t="s">
        <v>321</v>
      </c>
      <c r="E222">
        <v>250</v>
      </c>
      <c r="F222" t="s">
        <v>12</v>
      </c>
      <c r="G222" t="s">
        <v>13</v>
      </c>
      <c r="H222" s="1">
        <v>0</v>
      </c>
      <c r="I222" s="1">
        <v>0</v>
      </c>
      <c r="J222" s="2">
        <v>0</v>
      </c>
      <c r="K222" s="1">
        <v>0</v>
      </c>
      <c r="L222" s="1">
        <v>0</v>
      </c>
      <c r="M222" s="1">
        <v>0</v>
      </c>
      <c r="N22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3" spans="1:14" x14ac:dyDescent="0.3">
      <c r="A223">
        <v>2021</v>
      </c>
      <c r="B223" t="s">
        <v>14</v>
      </c>
      <c r="C223">
        <v>21</v>
      </c>
      <c r="D223" t="s">
        <v>323</v>
      </c>
      <c r="E223">
        <v>371</v>
      </c>
      <c r="F223" t="s">
        <v>6</v>
      </c>
      <c r="G223" t="s">
        <v>27</v>
      </c>
      <c r="H223" s="1">
        <v>0</v>
      </c>
      <c r="I223" s="1">
        <v>0</v>
      </c>
      <c r="J223" s="2">
        <v>0</v>
      </c>
      <c r="K223" s="1">
        <v>0</v>
      </c>
      <c r="L223" s="1">
        <v>0</v>
      </c>
      <c r="M223" s="1">
        <v>0</v>
      </c>
      <c r="N22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4" spans="1:14" x14ac:dyDescent="0.3">
      <c r="A224">
        <v>2021</v>
      </c>
      <c r="B224" t="s">
        <v>38</v>
      </c>
      <c r="C224">
        <v>23</v>
      </c>
      <c r="D224" t="s">
        <v>326</v>
      </c>
      <c r="E224">
        <v>433</v>
      </c>
      <c r="F224" t="s">
        <v>2</v>
      </c>
      <c r="G224" t="s">
        <v>3</v>
      </c>
      <c r="H224" s="1">
        <v>0</v>
      </c>
      <c r="I224" s="1">
        <v>0</v>
      </c>
      <c r="J224" s="2">
        <v>0</v>
      </c>
      <c r="K224" s="1">
        <v>0</v>
      </c>
      <c r="L224" s="1">
        <v>0</v>
      </c>
      <c r="M224" s="1">
        <v>0</v>
      </c>
      <c r="N22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5" spans="1:14" x14ac:dyDescent="0.3">
      <c r="A225">
        <v>2021</v>
      </c>
      <c r="B225" t="s">
        <v>56</v>
      </c>
      <c r="C225">
        <v>5</v>
      </c>
      <c r="D225" t="s">
        <v>324</v>
      </c>
      <c r="E225">
        <v>56</v>
      </c>
      <c r="F225" t="s">
        <v>2</v>
      </c>
      <c r="G225" t="s">
        <v>13</v>
      </c>
      <c r="H225" s="1">
        <v>0</v>
      </c>
      <c r="I225" s="1">
        <v>0</v>
      </c>
      <c r="J225" s="2">
        <v>0</v>
      </c>
      <c r="K225" s="1">
        <v>0</v>
      </c>
      <c r="L225" s="1">
        <v>0</v>
      </c>
      <c r="M225" s="1">
        <v>0</v>
      </c>
      <c r="N22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26" spans="1:14" x14ac:dyDescent="0.3">
      <c r="A226">
        <v>2021</v>
      </c>
      <c r="B226" t="s">
        <v>28</v>
      </c>
      <c r="C226">
        <v>36</v>
      </c>
      <c r="D226" t="s">
        <v>114</v>
      </c>
      <c r="E226">
        <v>694</v>
      </c>
      <c r="F226" t="s">
        <v>9</v>
      </c>
      <c r="G226" t="s">
        <v>3</v>
      </c>
      <c r="H226" s="1">
        <v>27</v>
      </c>
      <c r="I226" s="1">
        <v>518</v>
      </c>
      <c r="J226" s="2">
        <v>1045</v>
      </c>
      <c r="K226" s="1">
        <v>19.185185185185187</v>
      </c>
      <c r="L226" s="1">
        <v>2.0173745173745172</v>
      </c>
      <c r="M226" s="1">
        <v>38.703703703703702</v>
      </c>
      <c r="N22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27" spans="1:14" x14ac:dyDescent="0.3">
      <c r="A227">
        <v>2021</v>
      </c>
      <c r="B227" t="s">
        <v>7</v>
      </c>
      <c r="C227">
        <v>33</v>
      </c>
      <c r="D227" t="s">
        <v>333</v>
      </c>
      <c r="E227">
        <v>593</v>
      </c>
      <c r="F227" t="s">
        <v>9</v>
      </c>
      <c r="G227" t="s">
        <v>13</v>
      </c>
      <c r="H227" s="1">
        <v>108</v>
      </c>
      <c r="I227" s="1">
        <v>1637</v>
      </c>
      <c r="J227" s="2">
        <v>2185</v>
      </c>
      <c r="K227" s="1">
        <v>15.157407407407407</v>
      </c>
      <c r="L227" s="1">
        <v>1.3347587049480758</v>
      </c>
      <c r="M227" s="1">
        <v>20.231481481481481</v>
      </c>
      <c r="N22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28" spans="1:14" x14ac:dyDescent="0.3">
      <c r="A228">
        <v>2021</v>
      </c>
      <c r="B228" t="s">
        <v>74</v>
      </c>
      <c r="C228">
        <v>13</v>
      </c>
      <c r="D228" t="s">
        <v>336</v>
      </c>
      <c r="E228">
        <v>246</v>
      </c>
      <c r="F228" t="s">
        <v>12</v>
      </c>
      <c r="G228" t="s">
        <v>13</v>
      </c>
      <c r="H228" s="1">
        <v>10</v>
      </c>
      <c r="I228" s="1">
        <v>51</v>
      </c>
      <c r="J228" s="2">
        <v>133</v>
      </c>
      <c r="K228" s="1">
        <v>5.0999999999999996</v>
      </c>
      <c r="L228" s="1">
        <v>2.607843137254902</v>
      </c>
      <c r="M228" s="1">
        <v>13.3</v>
      </c>
      <c r="N22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29" spans="1:14" x14ac:dyDescent="0.3">
      <c r="A229">
        <v>2021</v>
      </c>
      <c r="B229" t="s">
        <v>63</v>
      </c>
      <c r="C229">
        <v>17</v>
      </c>
      <c r="D229" t="s">
        <v>337</v>
      </c>
      <c r="E229">
        <v>658</v>
      </c>
      <c r="F229" t="s">
        <v>12</v>
      </c>
      <c r="G229" t="s">
        <v>13</v>
      </c>
      <c r="H229" s="1">
        <v>0</v>
      </c>
      <c r="I229" s="1">
        <v>0</v>
      </c>
      <c r="J229" s="2">
        <v>0</v>
      </c>
      <c r="K229" s="1">
        <v>0</v>
      </c>
      <c r="L229" s="1">
        <v>0</v>
      </c>
      <c r="M229" s="1">
        <v>0</v>
      </c>
      <c r="N22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30" spans="1:14" x14ac:dyDescent="0.3">
      <c r="A230">
        <v>2021</v>
      </c>
      <c r="B230" t="s">
        <v>44</v>
      </c>
      <c r="C230">
        <v>3</v>
      </c>
      <c r="D230" t="s">
        <v>338</v>
      </c>
      <c r="E230">
        <v>40</v>
      </c>
      <c r="F230" t="s">
        <v>20</v>
      </c>
      <c r="G230" t="s">
        <v>13</v>
      </c>
      <c r="H230" s="1">
        <v>89</v>
      </c>
      <c r="I230" s="1">
        <v>618</v>
      </c>
      <c r="J230" s="2">
        <v>4138</v>
      </c>
      <c r="K230" s="1">
        <v>6.9438202247191008</v>
      </c>
      <c r="L230" s="1">
        <v>6.6957928802588995</v>
      </c>
      <c r="M230" s="1">
        <v>46.49438202247191</v>
      </c>
      <c r="N23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31" spans="1:14" x14ac:dyDescent="0.3">
      <c r="A231">
        <v>2021</v>
      </c>
      <c r="B231" t="s">
        <v>23</v>
      </c>
      <c r="C231">
        <v>24</v>
      </c>
      <c r="D231" t="s">
        <v>35</v>
      </c>
      <c r="E231">
        <v>438</v>
      </c>
      <c r="F231" t="s">
        <v>25</v>
      </c>
      <c r="G231" t="s">
        <v>13</v>
      </c>
      <c r="H231" s="1">
        <v>0</v>
      </c>
      <c r="I231" s="1">
        <v>0</v>
      </c>
      <c r="J231" s="2">
        <v>0</v>
      </c>
      <c r="K231" s="1">
        <v>0</v>
      </c>
      <c r="L231" s="1">
        <v>0</v>
      </c>
      <c r="M231" s="1">
        <v>0</v>
      </c>
      <c r="N23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32" spans="1:14" x14ac:dyDescent="0.3">
      <c r="A232">
        <v>2021</v>
      </c>
      <c r="B232" t="s">
        <v>28</v>
      </c>
      <c r="C232">
        <v>36</v>
      </c>
      <c r="D232" t="s">
        <v>130</v>
      </c>
      <c r="E232">
        <v>720</v>
      </c>
      <c r="F232" t="s">
        <v>9</v>
      </c>
      <c r="G232" t="s">
        <v>13</v>
      </c>
      <c r="H232" s="1">
        <v>0</v>
      </c>
      <c r="I232" s="1">
        <v>0</v>
      </c>
      <c r="J232" s="2">
        <v>0</v>
      </c>
      <c r="K232" s="1">
        <v>0</v>
      </c>
      <c r="L232" s="1">
        <v>0</v>
      </c>
      <c r="M232" s="1">
        <v>0</v>
      </c>
      <c r="N23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33" spans="1:14" x14ac:dyDescent="0.3">
      <c r="A233">
        <v>2021</v>
      </c>
      <c r="B233" t="s">
        <v>81</v>
      </c>
      <c r="C233">
        <v>12</v>
      </c>
      <c r="D233" t="s">
        <v>346</v>
      </c>
      <c r="E233">
        <v>236</v>
      </c>
      <c r="F233" t="s">
        <v>12</v>
      </c>
      <c r="G233" t="s">
        <v>13</v>
      </c>
      <c r="H233" s="1">
        <v>0</v>
      </c>
      <c r="I233" s="1">
        <v>0</v>
      </c>
      <c r="J233" s="2">
        <v>0</v>
      </c>
      <c r="K233" s="1">
        <v>0</v>
      </c>
      <c r="L233" s="1">
        <v>0</v>
      </c>
      <c r="M233" s="1">
        <v>0</v>
      </c>
      <c r="N23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34" spans="1:14" x14ac:dyDescent="0.3">
      <c r="A234">
        <v>2021</v>
      </c>
      <c r="B234" t="s">
        <v>196</v>
      </c>
      <c r="C234">
        <v>16</v>
      </c>
      <c r="D234" t="s">
        <v>347</v>
      </c>
      <c r="E234">
        <v>269</v>
      </c>
      <c r="F234" t="s">
        <v>12</v>
      </c>
      <c r="G234" t="s">
        <v>13</v>
      </c>
      <c r="H234" s="1">
        <v>30</v>
      </c>
      <c r="I234" s="1">
        <v>332</v>
      </c>
      <c r="J234" s="2">
        <v>549</v>
      </c>
      <c r="K234" s="1">
        <v>11.066666666666666</v>
      </c>
      <c r="L234" s="1">
        <v>1.6536144578313252</v>
      </c>
      <c r="M234" s="1">
        <v>18.3</v>
      </c>
      <c r="N23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35" spans="1:14" x14ac:dyDescent="0.3">
      <c r="A235">
        <v>2021</v>
      </c>
      <c r="B235" t="s">
        <v>38</v>
      </c>
      <c r="C235">
        <v>23</v>
      </c>
      <c r="D235" t="s">
        <v>348</v>
      </c>
      <c r="E235">
        <v>414</v>
      </c>
      <c r="F235" t="s">
        <v>2</v>
      </c>
      <c r="G235" t="s">
        <v>27</v>
      </c>
      <c r="H235" s="1">
        <v>33</v>
      </c>
      <c r="I235" s="1">
        <v>504</v>
      </c>
      <c r="J235" s="2">
        <v>1953</v>
      </c>
      <c r="K235" s="1">
        <v>15.272727272727273</v>
      </c>
      <c r="L235" s="1">
        <v>3.875</v>
      </c>
      <c r="M235" s="1">
        <v>59.18181818181818</v>
      </c>
      <c r="N23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36" spans="1:14" x14ac:dyDescent="0.3">
      <c r="A236">
        <v>2021</v>
      </c>
      <c r="B236" t="s">
        <v>38</v>
      </c>
      <c r="C236">
        <v>23</v>
      </c>
      <c r="D236" t="s">
        <v>349</v>
      </c>
      <c r="E236">
        <v>396</v>
      </c>
      <c r="F236" t="s">
        <v>2</v>
      </c>
      <c r="G236" t="s">
        <v>17</v>
      </c>
      <c r="H236" s="1">
        <v>509</v>
      </c>
      <c r="I236" s="1">
        <v>5618</v>
      </c>
      <c r="J236" s="2">
        <v>91414</v>
      </c>
      <c r="K236" s="1">
        <v>11.037328094302554</v>
      </c>
      <c r="L236" s="1">
        <v>16.271626913492344</v>
      </c>
      <c r="M236" s="1">
        <v>179.59528487229863</v>
      </c>
      <c r="N23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237" spans="1:14" x14ac:dyDescent="0.3">
      <c r="A237">
        <v>2021</v>
      </c>
      <c r="B237" t="s">
        <v>0</v>
      </c>
      <c r="C237">
        <v>9</v>
      </c>
      <c r="D237" t="s">
        <v>353</v>
      </c>
      <c r="E237">
        <v>182</v>
      </c>
      <c r="F237" t="s">
        <v>2</v>
      </c>
      <c r="G237" t="s">
        <v>13</v>
      </c>
      <c r="H237" s="1">
        <v>116</v>
      </c>
      <c r="I237" s="1">
        <v>2607</v>
      </c>
      <c r="J237" s="2">
        <v>4281</v>
      </c>
      <c r="K237" s="1">
        <v>22.474137931034484</v>
      </c>
      <c r="L237" s="1">
        <v>1.6421173762945915</v>
      </c>
      <c r="M237" s="1">
        <v>36.905172413793103</v>
      </c>
      <c r="N23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38" spans="1:14" x14ac:dyDescent="0.3">
      <c r="A238">
        <v>2021</v>
      </c>
      <c r="B238" t="s">
        <v>58</v>
      </c>
      <c r="C238">
        <v>28</v>
      </c>
      <c r="D238" t="s">
        <v>107</v>
      </c>
      <c r="E238">
        <v>510</v>
      </c>
      <c r="F238" t="s">
        <v>9</v>
      </c>
      <c r="G238" t="s">
        <v>13</v>
      </c>
      <c r="H238" s="1">
        <v>228</v>
      </c>
      <c r="I238" s="1">
        <v>2125</v>
      </c>
      <c r="J238" s="2">
        <v>4549</v>
      </c>
      <c r="K238" s="1">
        <v>9.3201754385964914</v>
      </c>
      <c r="L238" s="1">
        <v>2.140705882352941</v>
      </c>
      <c r="M238" s="1">
        <v>19.951754385964911</v>
      </c>
      <c r="N23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39" spans="1:14" x14ac:dyDescent="0.3">
      <c r="A239">
        <v>2021</v>
      </c>
      <c r="B239" t="s">
        <v>10</v>
      </c>
      <c r="C239">
        <v>18</v>
      </c>
      <c r="D239" t="s">
        <v>314</v>
      </c>
      <c r="E239">
        <v>293</v>
      </c>
      <c r="F239" t="s">
        <v>12</v>
      </c>
      <c r="G239" t="s">
        <v>3</v>
      </c>
      <c r="H239" s="1">
        <v>34</v>
      </c>
      <c r="I239" s="1">
        <v>477</v>
      </c>
      <c r="J239" s="2">
        <v>2649</v>
      </c>
      <c r="K239" s="1">
        <v>14.029411764705882</v>
      </c>
      <c r="L239" s="1">
        <v>5.5534591194968552</v>
      </c>
      <c r="M239" s="1">
        <v>77.911764705882348</v>
      </c>
      <c r="N23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0" spans="1:14" x14ac:dyDescent="0.3">
      <c r="A240">
        <v>2021</v>
      </c>
      <c r="B240" t="s">
        <v>21</v>
      </c>
      <c r="C240">
        <v>19</v>
      </c>
      <c r="D240" t="s">
        <v>354</v>
      </c>
      <c r="E240">
        <v>313</v>
      </c>
      <c r="F240" t="s">
        <v>6</v>
      </c>
      <c r="G240" t="s">
        <v>17</v>
      </c>
      <c r="H240" s="1">
        <v>0</v>
      </c>
      <c r="I240" s="1">
        <v>0</v>
      </c>
      <c r="J240" s="2">
        <v>0</v>
      </c>
      <c r="K240" s="1">
        <v>0</v>
      </c>
      <c r="L240" s="1">
        <v>0</v>
      </c>
      <c r="M240" s="1">
        <v>0</v>
      </c>
      <c r="N24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41" spans="1:14" x14ac:dyDescent="0.3">
      <c r="A241">
        <v>2021</v>
      </c>
      <c r="B241" t="s">
        <v>7</v>
      </c>
      <c r="C241">
        <v>33</v>
      </c>
      <c r="D241" t="s">
        <v>363</v>
      </c>
      <c r="E241">
        <v>590</v>
      </c>
      <c r="F241" t="s">
        <v>9</v>
      </c>
      <c r="G241" t="s">
        <v>13</v>
      </c>
      <c r="H241" s="1">
        <v>80</v>
      </c>
      <c r="I241" s="1">
        <v>869</v>
      </c>
      <c r="J241" s="2">
        <v>1930</v>
      </c>
      <c r="K241" s="1">
        <v>10.862500000000001</v>
      </c>
      <c r="L241" s="1">
        <v>2.2209436133486768</v>
      </c>
      <c r="M241" s="1">
        <v>24.125</v>
      </c>
      <c r="N24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2" spans="1:14" x14ac:dyDescent="0.3">
      <c r="A242">
        <v>2021</v>
      </c>
      <c r="B242" t="s">
        <v>81</v>
      </c>
      <c r="C242">
        <v>12</v>
      </c>
      <c r="D242" t="s">
        <v>82</v>
      </c>
      <c r="E242">
        <v>241</v>
      </c>
      <c r="F242" t="s">
        <v>12</v>
      </c>
      <c r="G242" t="s">
        <v>13</v>
      </c>
      <c r="H242" s="1">
        <v>0</v>
      </c>
      <c r="I242" s="1">
        <v>0</v>
      </c>
      <c r="J242" s="2">
        <v>0</v>
      </c>
      <c r="K242" s="1">
        <v>0</v>
      </c>
      <c r="L242" s="1">
        <v>0</v>
      </c>
      <c r="M242" s="1">
        <v>0</v>
      </c>
      <c r="N24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43" spans="1:14" x14ac:dyDescent="0.3">
      <c r="A243">
        <v>2021</v>
      </c>
      <c r="B243" t="s">
        <v>23</v>
      </c>
      <c r="C243">
        <v>24</v>
      </c>
      <c r="D243" t="s">
        <v>364</v>
      </c>
      <c r="E243">
        <v>673</v>
      </c>
      <c r="F243" t="s">
        <v>25</v>
      </c>
      <c r="G243" t="s">
        <v>3</v>
      </c>
      <c r="H243" s="1">
        <v>30</v>
      </c>
      <c r="I243" s="1">
        <v>374</v>
      </c>
      <c r="J243" s="2">
        <v>1421</v>
      </c>
      <c r="K243" s="1">
        <v>12.466666666666667</v>
      </c>
      <c r="L243" s="1">
        <v>3.7994652406417111</v>
      </c>
      <c r="M243" s="1">
        <v>47.366666666666667</v>
      </c>
      <c r="N24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4" spans="1:14" x14ac:dyDescent="0.3">
      <c r="A244">
        <v>2021</v>
      </c>
      <c r="B244" t="s">
        <v>23</v>
      </c>
      <c r="C244">
        <v>24</v>
      </c>
      <c r="D244" t="s">
        <v>367</v>
      </c>
      <c r="E244">
        <v>439</v>
      </c>
      <c r="F244" t="s">
        <v>25</v>
      </c>
      <c r="G244" t="s">
        <v>13</v>
      </c>
      <c r="H244" s="1">
        <v>72</v>
      </c>
      <c r="I244" s="1">
        <v>620</v>
      </c>
      <c r="J244" s="2">
        <v>1798</v>
      </c>
      <c r="K244" s="1">
        <v>8.6111111111111107</v>
      </c>
      <c r="L244" s="1">
        <v>2.9</v>
      </c>
      <c r="M244" s="1">
        <v>24.972222222222221</v>
      </c>
      <c r="N24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5" spans="1:14" x14ac:dyDescent="0.3">
      <c r="A245">
        <v>2021</v>
      </c>
      <c r="B245" t="s">
        <v>0</v>
      </c>
      <c r="C245">
        <v>9</v>
      </c>
      <c r="D245" t="s">
        <v>68</v>
      </c>
      <c r="E245">
        <v>168</v>
      </c>
      <c r="F245" t="s">
        <v>2</v>
      </c>
      <c r="G245" t="s">
        <v>27</v>
      </c>
      <c r="H245" s="1">
        <v>33</v>
      </c>
      <c r="I245" s="1">
        <v>613</v>
      </c>
      <c r="J245" s="2">
        <v>2826</v>
      </c>
      <c r="K245" s="1">
        <v>18.575757575757574</v>
      </c>
      <c r="L245" s="1">
        <v>4.6101141924959217</v>
      </c>
      <c r="M245" s="1">
        <v>85.63636363636364</v>
      </c>
      <c r="N24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46" spans="1:14" x14ac:dyDescent="0.3">
      <c r="A246">
        <v>2021</v>
      </c>
      <c r="B246" t="s">
        <v>7</v>
      </c>
      <c r="C246">
        <v>33</v>
      </c>
      <c r="D246" t="s">
        <v>361</v>
      </c>
      <c r="E246">
        <v>592</v>
      </c>
      <c r="F246" t="s">
        <v>9</v>
      </c>
      <c r="G246" t="s">
        <v>3</v>
      </c>
      <c r="H246" s="1">
        <v>0</v>
      </c>
      <c r="I246" s="1">
        <v>0</v>
      </c>
      <c r="J246" s="2">
        <v>0</v>
      </c>
      <c r="K246" s="1">
        <v>0</v>
      </c>
      <c r="L246" s="1">
        <v>0</v>
      </c>
      <c r="M246" s="1">
        <v>0</v>
      </c>
      <c r="N24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47" spans="1:14" x14ac:dyDescent="0.3">
      <c r="A247">
        <v>2021</v>
      </c>
      <c r="B247" t="s">
        <v>7</v>
      </c>
      <c r="C247">
        <v>33</v>
      </c>
      <c r="D247" t="s">
        <v>373</v>
      </c>
      <c r="E247">
        <v>730</v>
      </c>
      <c r="F247" t="s">
        <v>9</v>
      </c>
      <c r="G247" t="s">
        <v>3</v>
      </c>
      <c r="H247" s="1">
        <v>0</v>
      </c>
      <c r="I247" s="1">
        <v>0</v>
      </c>
      <c r="J247" s="2">
        <v>0</v>
      </c>
      <c r="K247" s="1">
        <v>0</v>
      </c>
      <c r="L247" s="1">
        <v>0</v>
      </c>
      <c r="M247" s="1">
        <v>0</v>
      </c>
      <c r="N24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48" spans="1:14" x14ac:dyDescent="0.3">
      <c r="A248">
        <v>2021</v>
      </c>
      <c r="B248" t="s">
        <v>316</v>
      </c>
      <c r="C248">
        <v>30</v>
      </c>
      <c r="D248" t="s">
        <v>317</v>
      </c>
      <c r="E248">
        <v>552</v>
      </c>
      <c r="F248" t="s">
        <v>25</v>
      </c>
      <c r="G248" t="s">
        <v>3</v>
      </c>
      <c r="H248" s="1">
        <v>172</v>
      </c>
      <c r="I248" s="1">
        <v>1811</v>
      </c>
      <c r="J248" s="2">
        <v>27991</v>
      </c>
      <c r="K248" s="1">
        <v>10.529069767441861</v>
      </c>
      <c r="L248" s="1">
        <v>15.456101601325235</v>
      </c>
      <c r="M248" s="1">
        <v>162.73837209302326</v>
      </c>
      <c r="N24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249" spans="1:14" x14ac:dyDescent="0.3">
      <c r="A249">
        <v>2021</v>
      </c>
      <c r="B249" t="s">
        <v>7</v>
      </c>
      <c r="C249">
        <v>33</v>
      </c>
      <c r="D249" t="s">
        <v>287</v>
      </c>
      <c r="E249">
        <v>579</v>
      </c>
      <c r="F249" t="s">
        <v>9</v>
      </c>
      <c r="G249" t="s">
        <v>3</v>
      </c>
      <c r="H249" s="1">
        <v>0</v>
      </c>
      <c r="I249" s="1">
        <v>0</v>
      </c>
      <c r="J249" s="2">
        <v>0</v>
      </c>
      <c r="K249" s="1">
        <v>0</v>
      </c>
      <c r="L249" s="1">
        <v>0</v>
      </c>
      <c r="M249" s="1">
        <v>0</v>
      </c>
      <c r="N24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0" spans="1:14" x14ac:dyDescent="0.3">
      <c r="A250">
        <v>2021</v>
      </c>
      <c r="B250" t="s">
        <v>4</v>
      </c>
      <c r="C250">
        <v>10</v>
      </c>
      <c r="D250" t="s">
        <v>375</v>
      </c>
      <c r="E250">
        <v>197</v>
      </c>
      <c r="F250" t="s">
        <v>6</v>
      </c>
      <c r="G250" t="s">
        <v>3</v>
      </c>
      <c r="H250" s="1">
        <v>0</v>
      </c>
      <c r="I250" s="1">
        <v>0</v>
      </c>
      <c r="J250" s="2">
        <v>0</v>
      </c>
      <c r="K250" s="1">
        <v>0</v>
      </c>
      <c r="L250" s="1">
        <v>0</v>
      </c>
      <c r="M250" s="1">
        <v>0</v>
      </c>
      <c r="N25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1" spans="1:14" x14ac:dyDescent="0.3">
      <c r="A251">
        <v>2021</v>
      </c>
      <c r="B251" t="s">
        <v>0</v>
      </c>
      <c r="C251">
        <v>9</v>
      </c>
      <c r="D251" t="s">
        <v>377</v>
      </c>
      <c r="E251">
        <v>140</v>
      </c>
      <c r="F251" t="s">
        <v>2</v>
      </c>
      <c r="G251" t="s">
        <v>3</v>
      </c>
      <c r="H251" s="1">
        <v>0</v>
      </c>
      <c r="I251" s="1">
        <v>0</v>
      </c>
      <c r="J251" s="2">
        <v>0</v>
      </c>
      <c r="K251" s="1">
        <v>0</v>
      </c>
      <c r="L251" s="1">
        <v>0</v>
      </c>
      <c r="M251" s="1">
        <v>0</v>
      </c>
      <c r="N25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2" spans="1:14" x14ac:dyDescent="0.3">
      <c r="A252">
        <v>2021</v>
      </c>
      <c r="B252" t="s">
        <v>53</v>
      </c>
      <c r="C252">
        <v>27</v>
      </c>
      <c r="D252" t="s">
        <v>351</v>
      </c>
      <c r="E252">
        <v>486</v>
      </c>
      <c r="F252" t="s">
        <v>25</v>
      </c>
      <c r="G252" t="s">
        <v>3</v>
      </c>
      <c r="H252" s="1">
        <v>0</v>
      </c>
      <c r="I252" s="1">
        <v>0</v>
      </c>
      <c r="J252" s="2">
        <v>0</v>
      </c>
      <c r="K252" s="1">
        <v>0</v>
      </c>
      <c r="L252" s="1">
        <v>0</v>
      </c>
      <c r="M252" s="1">
        <v>0</v>
      </c>
      <c r="N25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3" spans="1:14" x14ac:dyDescent="0.3">
      <c r="A253">
        <v>2021</v>
      </c>
      <c r="B253" t="s">
        <v>53</v>
      </c>
      <c r="C253">
        <v>27</v>
      </c>
      <c r="D253" t="s">
        <v>380</v>
      </c>
      <c r="E253">
        <v>487</v>
      </c>
      <c r="F253" t="s">
        <v>25</v>
      </c>
      <c r="G253" t="s">
        <v>3</v>
      </c>
      <c r="H253" s="1">
        <v>192</v>
      </c>
      <c r="I253" s="1">
        <v>2723</v>
      </c>
      <c r="J253" s="2">
        <v>12522</v>
      </c>
      <c r="K253" s="1">
        <v>14.182291666666666</v>
      </c>
      <c r="L253" s="1">
        <v>4.5986044803525523</v>
      </c>
      <c r="M253" s="1">
        <v>65.21875</v>
      </c>
      <c r="N25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54" spans="1:14" x14ac:dyDescent="0.3">
      <c r="A254">
        <v>2021</v>
      </c>
      <c r="B254" t="s">
        <v>14</v>
      </c>
      <c r="C254">
        <v>21</v>
      </c>
      <c r="D254" t="s">
        <v>383</v>
      </c>
      <c r="E254">
        <v>365</v>
      </c>
      <c r="F254" t="s">
        <v>6</v>
      </c>
      <c r="G254" t="s">
        <v>13</v>
      </c>
      <c r="H254" s="1">
        <v>0</v>
      </c>
      <c r="I254" s="1">
        <v>0</v>
      </c>
      <c r="J254" s="2">
        <v>0</v>
      </c>
      <c r="K254" s="1">
        <v>0</v>
      </c>
      <c r="L254" s="1">
        <v>0</v>
      </c>
      <c r="M254" s="1">
        <v>0</v>
      </c>
      <c r="N25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5" spans="1:14" x14ac:dyDescent="0.3">
      <c r="A255">
        <v>2021</v>
      </c>
      <c r="B255" t="s">
        <v>23</v>
      </c>
      <c r="C255">
        <v>24</v>
      </c>
      <c r="D255" t="s">
        <v>384</v>
      </c>
      <c r="E255">
        <v>450</v>
      </c>
      <c r="F255" t="s">
        <v>25</v>
      </c>
      <c r="G255" t="s">
        <v>13</v>
      </c>
      <c r="H255" s="1">
        <v>111</v>
      </c>
      <c r="I255" s="1">
        <v>1283</v>
      </c>
      <c r="J255" s="2">
        <v>3577</v>
      </c>
      <c r="K255" s="1">
        <v>11.558558558558559</v>
      </c>
      <c r="L255" s="1">
        <v>2.7879968823070929</v>
      </c>
      <c r="M255" s="1">
        <v>32.225225225225223</v>
      </c>
      <c r="N25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56" spans="1:14" x14ac:dyDescent="0.3">
      <c r="A256">
        <v>2021</v>
      </c>
      <c r="B256" t="s">
        <v>53</v>
      </c>
      <c r="C256">
        <v>27</v>
      </c>
      <c r="D256" t="s">
        <v>386</v>
      </c>
      <c r="E256">
        <v>480</v>
      </c>
      <c r="F256" t="s">
        <v>25</v>
      </c>
      <c r="G256" t="s">
        <v>3</v>
      </c>
      <c r="H256" s="1">
        <v>0</v>
      </c>
      <c r="I256" s="1">
        <v>0</v>
      </c>
      <c r="J256" s="2">
        <v>0</v>
      </c>
      <c r="K256" s="1">
        <v>0</v>
      </c>
      <c r="L256" s="1">
        <v>0</v>
      </c>
      <c r="M256" s="1">
        <v>0</v>
      </c>
      <c r="N25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7" spans="1:14" x14ac:dyDescent="0.3">
      <c r="A257">
        <v>2021</v>
      </c>
      <c r="B257" t="s">
        <v>79</v>
      </c>
      <c r="C257">
        <v>20</v>
      </c>
      <c r="D257" t="s">
        <v>80</v>
      </c>
      <c r="E257">
        <v>339</v>
      </c>
      <c r="F257" t="s">
        <v>6</v>
      </c>
      <c r="G257" t="s">
        <v>3</v>
      </c>
      <c r="H257" s="1">
        <v>0</v>
      </c>
      <c r="I257" s="1">
        <v>0</v>
      </c>
      <c r="J257" s="2">
        <v>0</v>
      </c>
      <c r="K257" s="1">
        <v>0</v>
      </c>
      <c r="L257" s="1">
        <v>0</v>
      </c>
      <c r="M257" s="1">
        <v>0</v>
      </c>
      <c r="N25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8" spans="1:14" x14ac:dyDescent="0.3">
      <c r="A258">
        <v>2021</v>
      </c>
      <c r="B258" t="s">
        <v>0</v>
      </c>
      <c r="C258">
        <v>9</v>
      </c>
      <c r="D258" t="s">
        <v>284</v>
      </c>
      <c r="E258">
        <v>143</v>
      </c>
      <c r="F258" t="s">
        <v>2</v>
      </c>
      <c r="G258" t="s">
        <v>13</v>
      </c>
      <c r="H258" s="1">
        <v>0</v>
      </c>
      <c r="I258" s="1">
        <v>0</v>
      </c>
      <c r="J258" s="2">
        <v>0</v>
      </c>
      <c r="K258" s="1">
        <v>0</v>
      </c>
      <c r="L258" s="1">
        <v>0</v>
      </c>
      <c r="M258" s="1">
        <v>0</v>
      </c>
      <c r="N25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59" spans="1:14" x14ac:dyDescent="0.3">
      <c r="A259">
        <v>2021</v>
      </c>
      <c r="B259" t="s">
        <v>7</v>
      </c>
      <c r="C259">
        <v>33</v>
      </c>
      <c r="D259" t="s">
        <v>43</v>
      </c>
      <c r="E259">
        <v>582</v>
      </c>
      <c r="F259" t="s">
        <v>9</v>
      </c>
      <c r="G259" t="s">
        <v>13</v>
      </c>
      <c r="H259" s="1">
        <v>121</v>
      </c>
      <c r="I259" s="1">
        <v>1500</v>
      </c>
      <c r="J259" s="2">
        <v>2679</v>
      </c>
      <c r="K259" s="1">
        <v>12.396694214876034</v>
      </c>
      <c r="L259" s="1">
        <v>1.786</v>
      </c>
      <c r="M259" s="1">
        <v>22.140495867768596</v>
      </c>
      <c r="N25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60" spans="1:14" x14ac:dyDescent="0.3">
      <c r="A260">
        <v>2021</v>
      </c>
      <c r="B260" t="s">
        <v>65</v>
      </c>
      <c r="C260">
        <v>22</v>
      </c>
      <c r="D260" t="s">
        <v>239</v>
      </c>
      <c r="E260">
        <v>385</v>
      </c>
      <c r="F260" t="s">
        <v>2</v>
      </c>
      <c r="G260" t="s">
        <v>13</v>
      </c>
      <c r="H260" s="1">
        <v>0</v>
      </c>
      <c r="I260" s="1">
        <v>0</v>
      </c>
      <c r="J260" s="2">
        <v>0</v>
      </c>
      <c r="K260" s="1">
        <v>0</v>
      </c>
      <c r="L260" s="1">
        <v>0</v>
      </c>
      <c r="M260" s="1">
        <v>0</v>
      </c>
      <c r="N26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1" spans="1:14" x14ac:dyDescent="0.3">
      <c r="A261">
        <v>2021</v>
      </c>
      <c r="B261" t="s">
        <v>7</v>
      </c>
      <c r="C261">
        <v>33</v>
      </c>
      <c r="D261" t="s">
        <v>291</v>
      </c>
      <c r="E261">
        <v>595</v>
      </c>
      <c r="F261" t="s">
        <v>9</v>
      </c>
      <c r="G261" t="s">
        <v>3</v>
      </c>
      <c r="H261" s="1">
        <v>214</v>
      </c>
      <c r="I261" s="1">
        <v>3286</v>
      </c>
      <c r="J261" s="2">
        <v>10876</v>
      </c>
      <c r="K261" s="1">
        <v>15.355140186915888</v>
      </c>
      <c r="L261" s="1">
        <v>3.3097991479001827</v>
      </c>
      <c r="M261" s="1">
        <v>50.822429906542055</v>
      </c>
      <c r="N26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62" spans="1:14" x14ac:dyDescent="0.3">
      <c r="A262">
        <v>2020</v>
      </c>
      <c r="B262" t="s">
        <v>18</v>
      </c>
      <c r="C262">
        <v>7</v>
      </c>
      <c r="D262" t="s">
        <v>19</v>
      </c>
      <c r="E262">
        <v>82</v>
      </c>
      <c r="F262" t="s">
        <v>20</v>
      </c>
      <c r="G262" t="s">
        <v>13</v>
      </c>
      <c r="H262" s="1">
        <v>0</v>
      </c>
      <c r="I262" s="1">
        <v>0</v>
      </c>
      <c r="J262" s="2">
        <v>0</v>
      </c>
      <c r="K262" s="1">
        <v>0</v>
      </c>
      <c r="L262" s="1">
        <v>0</v>
      </c>
      <c r="M262" s="1">
        <v>0</v>
      </c>
      <c r="N26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3" spans="1:14" x14ac:dyDescent="0.3">
      <c r="A263">
        <v>2020</v>
      </c>
      <c r="B263" t="s">
        <v>30</v>
      </c>
      <c r="C263">
        <v>32</v>
      </c>
      <c r="D263" t="s">
        <v>31</v>
      </c>
      <c r="E263">
        <v>558</v>
      </c>
      <c r="F263" t="s">
        <v>9</v>
      </c>
      <c r="G263" t="s">
        <v>3</v>
      </c>
      <c r="H263" s="1">
        <v>0</v>
      </c>
      <c r="I263" s="1">
        <v>0</v>
      </c>
      <c r="J263" s="2">
        <v>0</v>
      </c>
      <c r="K263" s="1">
        <v>0</v>
      </c>
      <c r="L263" s="1">
        <v>0</v>
      </c>
      <c r="M263" s="1">
        <v>0</v>
      </c>
      <c r="N26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4" spans="1:14" x14ac:dyDescent="0.3">
      <c r="A264">
        <v>2020</v>
      </c>
      <c r="B264" t="s">
        <v>7</v>
      </c>
      <c r="C264">
        <v>33</v>
      </c>
      <c r="D264" t="s">
        <v>34</v>
      </c>
      <c r="E264">
        <v>583</v>
      </c>
      <c r="F264" t="s">
        <v>9</v>
      </c>
      <c r="G264" t="s">
        <v>3</v>
      </c>
      <c r="H264" s="1">
        <v>83</v>
      </c>
      <c r="I264" s="1">
        <v>1371</v>
      </c>
      <c r="J264" s="2">
        <v>3599</v>
      </c>
      <c r="K264" s="1">
        <v>16.518072289156628</v>
      </c>
      <c r="L264" s="1">
        <v>2.62509117432531</v>
      </c>
      <c r="M264" s="1">
        <v>43.361445783132531</v>
      </c>
      <c r="N26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65" spans="1:14" x14ac:dyDescent="0.3">
      <c r="A265">
        <v>2020</v>
      </c>
      <c r="B265" t="s">
        <v>4</v>
      </c>
      <c r="C265">
        <v>10</v>
      </c>
      <c r="D265" t="s">
        <v>40</v>
      </c>
      <c r="E265">
        <v>199</v>
      </c>
      <c r="F265" t="s">
        <v>6</v>
      </c>
      <c r="G265" t="s">
        <v>27</v>
      </c>
      <c r="H265" s="1">
        <v>0</v>
      </c>
      <c r="I265" s="1">
        <v>0</v>
      </c>
      <c r="J265" s="2">
        <v>0</v>
      </c>
      <c r="K265" s="1">
        <v>0</v>
      </c>
      <c r="L265" s="1">
        <v>0</v>
      </c>
      <c r="M265" s="1">
        <v>0</v>
      </c>
      <c r="N26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6" spans="1:14" x14ac:dyDescent="0.3">
      <c r="A266">
        <v>2020</v>
      </c>
      <c r="B266" t="s">
        <v>7</v>
      </c>
      <c r="C266">
        <v>33</v>
      </c>
      <c r="D266" t="s">
        <v>43</v>
      </c>
      <c r="E266">
        <v>582</v>
      </c>
      <c r="F266" t="s">
        <v>9</v>
      </c>
      <c r="G266" t="s">
        <v>3</v>
      </c>
      <c r="H266" s="1">
        <v>0</v>
      </c>
      <c r="I266" s="1">
        <v>0</v>
      </c>
      <c r="J266" s="2">
        <v>0</v>
      </c>
      <c r="K266" s="1">
        <v>0</v>
      </c>
      <c r="L266" s="1">
        <v>0</v>
      </c>
      <c r="M266" s="1">
        <v>0</v>
      </c>
      <c r="N26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7" spans="1:14" x14ac:dyDescent="0.3">
      <c r="A267">
        <v>2020</v>
      </c>
      <c r="B267" t="s">
        <v>10</v>
      </c>
      <c r="C267">
        <v>18</v>
      </c>
      <c r="D267" t="s">
        <v>48</v>
      </c>
      <c r="E267">
        <v>287</v>
      </c>
      <c r="F267" t="s">
        <v>12</v>
      </c>
      <c r="G267" t="s">
        <v>13</v>
      </c>
      <c r="H267" s="1">
        <v>0</v>
      </c>
      <c r="I267" s="1">
        <v>0</v>
      </c>
      <c r="J267" s="2">
        <v>0</v>
      </c>
      <c r="K267" s="1">
        <v>0</v>
      </c>
      <c r="L267" s="1">
        <v>0</v>
      </c>
      <c r="M267" s="1">
        <v>0</v>
      </c>
      <c r="N26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8" spans="1:14" x14ac:dyDescent="0.3">
      <c r="A268">
        <v>2020</v>
      </c>
      <c r="B268" t="s">
        <v>0</v>
      </c>
      <c r="C268">
        <v>9</v>
      </c>
      <c r="D268" t="s">
        <v>51</v>
      </c>
      <c r="E268">
        <v>167</v>
      </c>
      <c r="F268" t="s">
        <v>2</v>
      </c>
      <c r="G268" t="s">
        <v>3</v>
      </c>
      <c r="H268" s="1">
        <v>0</v>
      </c>
      <c r="I268" s="1">
        <v>0</v>
      </c>
      <c r="J268" s="2">
        <v>0</v>
      </c>
      <c r="K268" s="1">
        <v>0</v>
      </c>
      <c r="L268" s="1">
        <v>0</v>
      </c>
      <c r="M268" s="1">
        <v>0</v>
      </c>
      <c r="N26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69" spans="1:14" x14ac:dyDescent="0.3">
      <c r="A269">
        <v>2020</v>
      </c>
      <c r="B269" t="s">
        <v>56</v>
      </c>
      <c r="C269">
        <v>5</v>
      </c>
      <c r="D269" t="s">
        <v>57</v>
      </c>
      <c r="E269">
        <v>49</v>
      </c>
      <c r="F269" t="s">
        <v>2</v>
      </c>
      <c r="G269" t="s">
        <v>13</v>
      </c>
      <c r="H269" s="1">
        <v>0</v>
      </c>
      <c r="I269" s="1">
        <v>0</v>
      </c>
      <c r="J269" s="2">
        <v>0</v>
      </c>
      <c r="K269" s="1">
        <v>0</v>
      </c>
      <c r="L269" s="1">
        <v>0</v>
      </c>
      <c r="M269" s="1">
        <v>0</v>
      </c>
      <c r="N26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0" spans="1:14" x14ac:dyDescent="0.3">
      <c r="A270">
        <v>2020</v>
      </c>
      <c r="B270" t="s">
        <v>7</v>
      </c>
      <c r="C270">
        <v>33</v>
      </c>
      <c r="D270" t="s">
        <v>72</v>
      </c>
      <c r="E270">
        <v>569</v>
      </c>
      <c r="F270" t="s">
        <v>9</v>
      </c>
      <c r="G270" t="s">
        <v>17</v>
      </c>
      <c r="H270" s="1">
        <v>480</v>
      </c>
      <c r="I270" s="1">
        <v>4756</v>
      </c>
      <c r="J270" s="2">
        <v>50120</v>
      </c>
      <c r="K270" s="1">
        <v>9.9083333333333332</v>
      </c>
      <c r="L270" s="1">
        <v>10.538267451640033</v>
      </c>
      <c r="M270" s="1">
        <v>104.41666666666667</v>
      </c>
      <c r="N27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71" spans="1:14" x14ac:dyDescent="0.3">
      <c r="A271">
        <v>2020</v>
      </c>
      <c r="B271" t="s">
        <v>44</v>
      </c>
      <c r="C271">
        <v>3</v>
      </c>
      <c r="D271" t="s">
        <v>73</v>
      </c>
      <c r="E271">
        <v>42</v>
      </c>
      <c r="F271" t="s">
        <v>20</v>
      </c>
      <c r="G271" t="s">
        <v>3</v>
      </c>
      <c r="H271" s="1">
        <v>0</v>
      </c>
      <c r="I271" s="1">
        <v>0</v>
      </c>
      <c r="J271" s="2">
        <v>0</v>
      </c>
      <c r="K271" s="1">
        <v>0</v>
      </c>
      <c r="L271" s="1">
        <v>0</v>
      </c>
      <c r="M271" s="1">
        <v>0</v>
      </c>
      <c r="N27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2" spans="1:14" x14ac:dyDescent="0.3">
      <c r="A272">
        <v>2020</v>
      </c>
      <c r="B272" t="s">
        <v>58</v>
      </c>
      <c r="C272">
        <v>28</v>
      </c>
      <c r="D272" t="s">
        <v>76</v>
      </c>
      <c r="E272">
        <v>504</v>
      </c>
      <c r="F272" t="s">
        <v>9</v>
      </c>
      <c r="G272" t="s">
        <v>27</v>
      </c>
      <c r="H272" s="1">
        <v>0</v>
      </c>
      <c r="I272" s="1">
        <v>0</v>
      </c>
      <c r="J272" s="2">
        <v>0</v>
      </c>
      <c r="K272" s="1">
        <v>0</v>
      </c>
      <c r="L272" s="1">
        <v>0</v>
      </c>
      <c r="M272" s="1">
        <v>0</v>
      </c>
      <c r="N27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3" spans="1:14" x14ac:dyDescent="0.3">
      <c r="A273">
        <v>2020</v>
      </c>
      <c r="B273" t="s">
        <v>77</v>
      </c>
      <c r="C273">
        <v>8</v>
      </c>
      <c r="D273" t="s">
        <v>78</v>
      </c>
      <c r="E273">
        <v>89</v>
      </c>
      <c r="F273" t="s">
        <v>20</v>
      </c>
      <c r="G273" t="s">
        <v>13</v>
      </c>
      <c r="H273" s="1">
        <v>0</v>
      </c>
      <c r="I273" s="1">
        <v>0</v>
      </c>
      <c r="J273" s="2">
        <v>0</v>
      </c>
      <c r="K273" s="1">
        <v>0</v>
      </c>
      <c r="L273" s="1">
        <v>0</v>
      </c>
      <c r="M273" s="1">
        <v>0</v>
      </c>
      <c r="N27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4" spans="1:14" x14ac:dyDescent="0.3">
      <c r="A274">
        <v>2020</v>
      </c>
      <c r="B274" t="s">
        <v>87</v>
      </c>
      <c r="C274">
        <v>2</v>
      </c>
      <c r="D274" t="s">
        <v>88</v>
      </c>
      <c r="E274">
        <v>21</v>
      </c>
      <c r="F274" t="s">
        <v>20</v>
      </c>
      <c r="G274" t="s">
        <v>13</v>
      </c>
      <c r="H274" s="1">
        <v>16</v>
      </c>
      <c r="I274" s="1">
        <v>62</v>
      </c>
      <c r="J274" s="2">
        <v>523</v>
      </c>
      <c r="K274" s="1">
        <v>3.875</v>
      </c>
      <c r="L274" s="1">
        <v>8.435483870967742</v>
      </c>
      <c r="M274" s="1">
        <v>32.6875</v>
      </c>
      <c r="N27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75" spans="1:14" x14ac:dyDescent="0.3">
      <c r="A275">
        <v>2020</v>
      </c>
      <c r="B275" t="s">
        <v>65</v>
      </c>
      <c r="C275">
        <v>22</v>
      </c>
      <c r="D275" t="s">
        <v>98</v>
      </c>
      <c r="E275">
        <v>384</v>
      </c>
      <c r="F275" t="s">
        <v>2</v>
      </c>
      <c r="G275" t="s">
        <v>13</v>
      </c>
      <c r="H275" s="1">
        <v>29</v>
      </c>
      <c r="I275" s="1">
        <v>478</v>
      </c>
      <c r="J275" s="2">
        <v>939</v>
      </c>
      <c r="K275" s="1">
        <v>16.482758620689655</v>
      </c>
      <c r="L275" s="1">
        <v>1.9644351464435146</v>
      </c>
      <c r="M275" s="1">
        <v>32.379310344827587</v>
      </c>
      <c r="N27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76" spans="1:14" x14ac:dyDescent="0.3">
      <c r="A276">
        <v>2020</v>
      </c>
      <c r="B276" t="s">
        <v>0</v>
      </c>
      <c r="C276">
        <v>9</v>
      </c>
      <c r="D276" t="s">
        <v>116</v>
      </c>
      <c r="E276">
        <v>175</v>
      </c>
      <c r="F276" t="s">
        <v>2</v>
      </c>
      <c r="G276" t="s">
        <v>13</v>
      </c>
      <c r="H276" s="1">
        <v>0</v>
      </c>
      <c r="I276" s="1">
        <v>0</v>
      </c>
      <c r="J276" s="2">
        <v>0</v>
      </c>
      <c r="K276" s="1">
        <v>0</v>
      </c>
      <c r="L276" s="1">
        <v>0</v>
      </c>
      <c r="M276" s="1">
        <v>0</v>
      </c>
      <c r="N27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7" spans="1:14" x14ac:dyDescent="0.3">
      <c r="A277">
        <v>2020</v>
      </c>
      <c r="B277" t="s">
        <v>21</v>
      </c>
      <c r="C277">
        <v>19</v>
      </c>
      <c r="D277" t="s">
        <v>117</v>
      </c>
      <c r="E277">
        <v>321</v>
      </c>
      <c r="F277" t="s">
        <v>6</v>
      </c>
      <c r="G277" t="s">
        <v>13</v>
      </c>
      <c r="H277" s="1">
        <v>0</v>
      </c>
      <c r="I277" s="1">
        <v>0</v>
      </c>
      <c r="J277" s="2">
        <v>0</v>
      </c>
      <c r="K277" s="1">
        <v>0</v>
      </c>
      <c r="L277" s="1">
        <v>0</v>
      </c>
      <c r="M277" s="1">
        <v>0</v>
      </c>
      <c r="N27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78" spans="1:14" x14ac:dyDescent="0.3">
      <c r="A278">
        <v>2020</v>
      </c>
      <c r="B278" t="s">
        <v>63</v>
      </c>
      <c r="C278">
        <v>17</v>
      </c>
      <c r="D278" t="s">
        <v>118</v>
      </c>
      <c r="E278">
        <v>278</v>
      </c>
      <c r="F278" t="s">
        <v>12</v>
      </c>
      <c r="G278" t="s">
        <v>13</v>
      </c>
      <c r="H278" s="1">
        <v>18</v>
      </c>
      <c r="I278" s="1">
        <v>311</v>
      </c>
      <c r="J278" s="2">
        <v>485</v>
      </c>
      <c r="K278" s="1">
        <v>17.277777777777779</v>
      </c>
      <c r="L278" s="1">
        <v>1.5594855305466238</v>
      </c>
      <c r="M278" s="1">
        <v>26.944444444444443</v>
      </c>
      <c r="N27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79" spans="1:14" x14ac:dyDescent="0.3">
      <c r="A279">
        <v>2020</v>
      </c>
      <c r="B279" t="s">
        <v>38</v>
      </c>
      <c r="C279">
        <v>23</v>
      </c>
      <c r="D279" t="s">
        <v>123</v>
      </c>
      <c r="E279">
        <v>417</v>
      </c>
      <c r="F279" t="s">
        <v>2</v>
      </c>
      <c r="G279" t="s">
        <v>13</v>
      </c>
      <c r="H279" s="1">
        <v>27</v>
      </c>
      <c r="I279" s="1">
        <v>425</v>
      </c>
      <c r="J279" s="2">
        <v>337</v>
      </c>
      <c r="K279" s="1">
        <v>15.74074074074074</v>
      </c>
      <c r="L279" s="1">
        <v>0.79294117647058826</v>
      </c>
      <c r="M279" s="1">
        <v>12.481481481481481</v>
      </c>
      <c r="N27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80" spans="1:14" x14ac:dyDescent="0.3">
      <c r="A280">
        <v>2020</v>
      </c>
      <c r="B280" t="s">
        <v>41</v>
      </c>
      <c r="C280">
        <v>29</v>
      </c>
      <c r="D280" t="s">
        <v>133</v>
      </c>
      <c r="E280">
        <v>535</v>
      </c>
      <c r="F280" t="s">
        <v>9</v>
      </c>
      <c r="G280" t="s">
        <v>3</v>
      </c>
      <c r="H280" s="1">
        <v>48</v>
      </c>
      <c r="I280" s="1">
        <v>736</v>
      </c>
      <c r="J280" s="2">
        <v>1769</v>
      </c>
      <c r="K280" s="1">
        <v>15.333333333333334</v>
      </c>
      <c r="L280" s="1">
        <v>2.4035326086956523</v>
      </c>
      <c r="M280" s="1">
        <v>36.854166666666664</v>
      </c>
      <c r="N28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1" spans="1:14" x14ac:dyDescent="0.3">
      <c r="A281">
        <v>2020</v>
      </c>
      <c r="B281" t="s">
        <v>4</v>
      </c>
      <c r="C281">
        <v>10</v>
      </c>
      <c r="D281" t="s">
        <v>139</v>
      </c>
      <c r="E281">
        <v>190</v>
      </c>
      <c r="F281" t="s">
        <v>6</v>
      </c>
      <c r="G281" t="s">
        <v>13</v>
      </c>
      <c r="H281" s="1">
        <v>70</v>
      </c>
      <c r="I281" s="1">
        <v>1446</v>
      </c>
      <c r="J281" s="2">
        <v>1939</v>
      </c>
      <c r="K281" s="1">
        <v>20.657142857142858</v>
      </c>
      <c r="L281" s="1">
        <v>1.3409405255878284</v>
      </c>
      <c r="M281" s="1">
        <v>27.7</v>
      </c>
      <c r="N28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2" spans="1:14" x14ac:dyDescent="0.3">
      <c r="A282">
        <v>2020</v>
      </c>
      <c r="B282" t="s">
        <v>28</v>
      </c>
      <c r="C282">
        <v>36</v>
      </c>
      <c r="D282" t="s">
        <v>114</v>
      </c>
      <c r="E282">
        <v>694</v>
      </c>
      <c r="F282" t="s">
        <v>9</v>
      </c>
      <c r="G282" t="s">
        <v>13</v>
      </c>
      <c r="H282" s="1">
        <v>47</v>
      </c>
      <c r="I282" s="1">
        <v>637</v>
      </c>
      <c r="J282" s="2">
        <v>789</v>
      </c>
      <c r="K282" s="1">
        <v>13.553191489361701</v>
      </c>
      <c r="L282" s="1">
        <v>1.2386185243328101</v>
      </c>
      <c r="M282" s="1">
        <v>16.787234042553191</v>
      </c>
      <c r="N28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3" spans="1:14" x14ac:dyDescent="0.3">
      <c r="A283">
        <v>2020</v>
      </c>
      <c r="B283" t="s">
        <v>10</v>
      </c>
      <c r="C283">
        <v>18</v>
      </c>
      <c r="D283" t="s">
        <v>146</v>
      </c>
      <c r="E283">
        <v>708</v>
      </c>
      <c r="F283" t="s">
        <v>12</v>
      </c>
      <c r="G283" t="s">
        <v>3</v>
      </c>
      <c r="H283" s="1">
        <v>10</v>
      </c>
      <c r="I283" s="1">
        <v>157</v>
      </c>
      <c r="J283" s="2">
        <v>440</v>
      </c>
      <c r="K283" s="1">
        <v>15.7</v>
      </c>
      <c r="L283" s="1">
        <v>2.8025477707006368</v>
      </c>
      <c r="M283" s="1">
        <v>44</v>
      </c>
      <c r="N28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4" spans="1:14" x14ac:dyDescent="0.3">
      <c r="A284">
        <v>2020</v>
      </c>
      <c r="B284" t="s">
        <v>0</v>
      </c>
      <c r="C284">
        <v>9</v>
      </c>
      <c r="D284" t="s">
        <v>147</v>
      </c>
      <c r="E284">
        <v>153</v>
      </c>
      <c r="F284" t="s">
        <v>2</v>
      </c>
      <c r="G284" t="s">
        <v>27</v>
      </c>
      <c r="H284" s="1">
        <v>0</v>
      </c>
      <c r="I284" s="1">
        <v>0</v>
      </c>
      <c r="J284" s="2">
        <v>0</v>
      </c>
      <c r="K284" s="1">
        <v>0</v>
      </c>
      <c r="L284" s="1">
        <v>0</v>
      </c>
      <c r="M284" s="1">
        <v>0</v>
      </c>
      <c r="N28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85" spans="1:14" x14ac:dyDescent="0.3">
      <c r="A285">
        <v>2020</v>
      </c>
      <c r="B285" t="s">
        <v>53</v>
      </c>
      <c r="C285">
        <v>27</v>
      </c>
      <c r="D285" t="s">
        <v>148</v>
      </c>
      <c r="E285">
        <v>488</v>
      </c>
      <c r="F285" t="s">
        <v>25</v>
      </c>
      <c r="G285" t="s">
        <v>27</v>
      </c>
      <c r="H285" s="1">
        <v>24</v>
      </c>
      <c r="I285" s="1">
        <v>418</v>
      </c>
      <c r="J285" s="2">
        <v>2386</v>
      </c>
      <c r="K285" s="1">
        <v>17.416666666666668</v>
      </c>
      <c r="L285" s="1">
        <v>5.7081339712918657</v>
      </c>
      <c r="M285" s="1">
        <v>99.416666666666671</v>
      </c>
      <c r="N28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6" spans="1:14" x14ac:dyDescent="0.3">
      <c r="A286">
        <v>2020</v>
      </c>
      <c r="B286" t="s">
        <v>41</v>
      </c>
      <c r="C286">
        <v>29</v>
      </c>
      <c r="D286" t="s">
        <v>149</v>
      </c>
      <c r="E286">
        <v>631</v>
      </c>
      <c r="F286" t="s">
        <v>9</v>
      </c>
      <c r="G286" t="s">
        <v>13</v>
      </c>
      <c r="H286" s="1">
        <v>0</v>
      </c>
      <c r="I286" s="1">
        <v>0</v>
      </c>
      <c r="J286" s="2">
        <v>0</v>
      </c>
      <c r="K286" s="1">
        <v>0</v>
      </c>
      <c r="L286" s="1">
        <v>0</v>
      </c>
      <c r="M286" s="1">
        <v>0</v>
      </c>
      <c r="N28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87" spans="1:14" x14ac:dyDescent="0.3">
      <c r="A287">
        <v>2020</v>
      </c>
      <c r="B287" t="s">
        <v>41</v>
      </c>
      <c r="C287">
        <v>29</v>
      </c>
      <c r="D287" t="s">
        <v>160</v>
      </c>
      <c r="E287">
        <v>528</v>
      </c>
      <c r="F287" t="s">
        <v>9</v>
      </c>
      <c r="G287" t="s">
        <v>3</v>
      </c>
      <c r="H287" s="1">
        <v>89</v>
      </c>
      <c r="I287" s="1">
        <v>1654</v>
      </c>
      <c r="J287" s="2">
        <v>4036</v>
      </c>
      <c r="K287" s="1">
        <v>18.584269662921347</v>
      </c>
      <c r="L287" s="1">
        <v>2.4401451027811367</v>
      </c>
      <c r="M287" s="1">
        <v>45.348314606741575</v>
      </c>
      <c r="N28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88" spans="1:14" x14ac:dyDescent="0.3">
      <c r="A288">
        <v>2020</v>
      </c>
      <c r="B288" t="s">
        <v>65</v>
      </c>
      <c r="C288">
        <v>22</v>
      </c>
      <c r="D288" t="s">
        <v>161</v>
      </c>
      <c r="E288">
        <v>383</v>
      </c>
      <c r="F288" t="s">
        <v>2</v>
      </c>
      <c r="G288" t="s">
        <v>13</v>
      </c>
      <c r="H288" s="1">
        <v>0</v>
      </c>
      <c r="I288" s="1">
        <v>0</v>
      </c>
      <c r="J288" s="2">
        <v>0</v>
      </c>
      <c r="K288" s="1">
        <v>0</v>
      </c>
      <c r="L288" s="1">
        <v>0</v>
      </c>
      <c r="M288" s="1">
        <v>0</v>
      </c>
      <c r="N28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89" spans="1:14" x14ac:dyDescent="0.3">
      <c r="A289">
        <v>2020</v>
      </c>
      <c r="B289" t="s">
        <v>136</v>
      </c>
      <c r="C289">
        <v>15</v>
      </c>
      <c r="D289" t="s">
        <v>168</v>
      </c>
      <c r="E289">
        <v>728</v>
      </c>
      <c r="F289" t="s">
        <v>12</v>
      </c>
      <c r="G289" t="s">
        <v>13</v>
      </c>
      <c r="H289" s="1">
        <v>5</v>
      </c>
      <c r="I289" s="1">
        <v>20</v>
      </c>
      <c r="J289" s="2">
        <v>50</v>
      </c>
      <c r="K289" s="1">
        <v>4</v>
      </c>
      <c r="L289" s="1">
        <v>2.5</v>
      </c>
      <c r="M289" s="1">
        <v>10</v>
      </c>
      <c r="N28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90" spans="1:14" x14ac:dyDescent="0.3">
      <c r="A290">
        <v>2020</v>
      </c>
      <c r="B290" t="s">
        <v>7</v>
      </c>
      <c r="C290">
        <v>33</v>
      </c>
      <c r="D290" t="s">
        <v>169</v>
      </c>
      <c r="E290">
        <v>589</v>
      </c>
      <c r="F290" t="s">
        <v>9</v>
      </c>
      <c r="G290" t="s">
        <v>3</v>
      </c>
      <c r="H290" s="1">
        <v>0</v>
      </c>
      <c r="I290" s="1">
        <v>0</v>
      </c>
      <c r="J290" s="2">
        <v>0</v>
      </c>
      <c r="K290" s="1">
        <v>0</v>
      </c>
      <c r="L290" s="1">
        <v>0</v>
      </c>
      <c r="M290" s="1">
        <v>0</v>
      </c>
      <c r="N29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1" spans="1:14" x14ac:dyDescent="0.3">
      <c r="A291">
        <v>2020</v>
      </c>
      <c r="B291" t="s">
        <v>0</v>
      </c>
      <c r="C291">
        <v>9</v>
      </c>
      <c r="D291" t="s">
        <v>171</v>
      </c>
      <c r="E291">
        <v>148</v>
      </c>
      <c r="F291" t="s">
        <v>2</v>
      </c>
      <c r="G291" t="s">
        <v>13</v>
      </c>
      <c r="H291" s="1">
        <v>0</v>
      </c>
      <c r="I291" s="1">
        <v>0</v>
      </c>
      <c r="J291" s="2">
        <v>0</v>
      </c>
      <c r="K291" s="1">
        <v>0</v>
      </c>
      <c r="L291" s="1">
        <v>0</v>
      </c>
      <c r="M291" s="1">
        <v>0</v>
      </c>
      <c r="N29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2" spans="1:14" x14ac:dyDescent="0.3">
      <c r="A292">
        <v>2020</v>
      </c>
      <c r="B292" t="s">
        <v>65</v>
      </c>
      <c r="C292">
        <v>22</v>
      </c>
      <c r="D292" t="s">
        <v>176</v>
      </c>
      <c r="E292">
        <v>647</v>
      </c>
      <c r="F292" t="s">
        <v>2</v>
      </c>
      <c r="G292" t="s">
        <v>3</v>
      </c>
      <c r="H292" s="1">
        <v>0</v>
      </c>
      <c r="I292" s="1">
        <v>0</v>
      </c>
      <c r="J292" s="2">
        <v>0</v>
      </c>
      <c r="K292" s="1">
        <v>0</v>
      </c>
      <c r="L292" s="1">
        <v>0</v>
      </c>
      <c r="M292" s="1">
        <v>0</v>
      </c>
      <c r="N29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3" spans="1:14" x14ac:dyDescent="0.3">
      <c r="A293">
        <v>2020</v>
      </c>
      <c r="B293" t="s">
        <v>23</v>
      </c>
      <c r="C293">
        <v>24</v>
      </c>
      <c r="D293" t="s">
        <v>178</v>
      </c>
      <c r="E293">
        <v>444</v>
      </c>
      <c r="F293" t="s">
        <v>25</v>
      </c>
      <c r="G293" t="s">
        <v>3</v>
      </c>
      <c r="H293" s="1">
        <v>0</v>
      </c>
      <c r="I293" s="1">
        <v>0</v>
      </c>
      <c r="J293" s="2">
        <v>0</v>
      </c>
      <c r="K293" s="1">
        <v>0</v>
      </c>
      <c r="L293" s="1">
        <v>0</v>
      </c>
      <c r="M293" s="1">
        <v>0</v>
      </c>
      <c r="N29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4" spans="1:14" x14ac:dyDescent="0.3">
      <c r="A294">
        <v>2020</v>
      </c>
      <c r="B294" t="s">
        <v>18</v>
      </c>
      <c r="C294">
        <v>7</v>
      </c>
      <c r="D294" t="s">
        <v>179</v>
      </c>
      <c r="E294">
        <v>78</v>
      </c>
      <c r="F294" t="s">
        <v>20</v>
      </c>
      <c r="G294" t="s">
        <v>17</v>
      </c>
      <c r="H294" s="1">
        <v>0</v>
      </c>
      <c r="I294" s="1">
        <v>0</v>
      </c>
      <c r="J294" s="2">
        <v>0</v>
      </c>
      <c r="K294" s="1">
        <v>0</v>
      </c>
      <c r="L294" s="1">
        <v>0</v>
      </c>
      <c r="M294" s="1">
        <v>0</v>
      </c>
      <c r="N29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5" spans="1:14" x14ac:dyDescent="0.3">
      <c r="A295">
        <v>2020</v>
      </c>
      <c r="B295" t="s">
        <v>14</v>
      </c>
      <c r="C295">
        <v>21</v>
      </c>
      <c r="D295" t="s">
        <v>180</v>
      </c>
      <c r="E295">
        <v>349</v>
      </c>
      <c r="F295" t="s">
        <v>6</v>
      </c>
      <c r="G295" t="s">
        <v>3</v>
      </c>
      <c r="H295" s="1">
        <v>21</v>
      </c>
      <c r="I295" s="1">
        <v>172</v>
      </c>
      <c r="J295" s="2">
        <v>617</v>
      </c>
      <c r="K295" s="1">
        <v>8.1904761904761898</v>
      </c>
      <c r="L295" s="1">
        <v>3.5872093023255816</v>
      </c>
      <c r="M295" s="1">
        <v>29.38095238095238</v>
      </c>
      <c r="N29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96" spans="1:14" x14ac:dyDescent="0.3">
      <c r="A296">
        <v>2020</v>
      </c>
      <c r="B296" t="s">
        <v>79</v>
      </c>
      <c r="C296">
        <v>20</v>
      </c>
      <c r="D296" t="s">
        <v>183</v>
      </c>
      <c r="E296">
        <v>606</v>
      </c>
      <c r="F296" t="s">
        <v>6</v>
      </c>
      <c r="G296" t="s">
        <v>3</v>
      </c>
      <c r="H296" s="1">
        <v>22</v>
      </c>
      <c r="I296" s="1">
        <v>278</v>
      </c>
      <c r="J296" s="2">
        <v>952</v>
      </c>
      <c r="K296" s="1">
        <v>12.636363636363637</v>
      </c>
      <c r="L296" s="1">
        <v>3.4244604316546763</v>
      </c>
      <c r="M296" s="1">
        <v>43.272727272727273</v>
      </c>
      <c r="N29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297" spans="1:14" x14ac:dyDescent="0.3">
      <c r="A297">
        <v>2020</v>
      </c>
      <c r="B297" t="s">
        <v>18</v>
      </c>
      <c r="C297">
        <v>7</v>
      </c>
      <c r="D297" t="s">
        <v>179</v>
      </c>
      <c r="E297">
        <v>78</v>
      </c>
      <c r="F297" t="s">
        <v>20</v>
      </c>
      <c r="G297" t="s">
        <v>3</v>
      </c>
      <c r="H297" s="1">
        <v>0</v>
      </c>
      <c r="I297" s="1">
        <v>0</v>
      </c>
      <c r="J297" s="2">
        <v>0</v>
      </c>
      <c r="K297" s="1">
        <v>0</v>
      </c>
      <c r="L297" s="1">
        <v>0</v>
      </c>
      <c r="M297" s="1">
        <v>0</v>
      </c>
      <c r="N29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298" spans="1:14" x14ac:dyDescent="0.3">
      <c r="A298">
        <v>2020</v>
      </c>
      <c r="B298" t="s">
        <v>60</v>
      </c>
      <c r="C298">
        <v>6</v>
      </c>
      <c r="D298" t="s">
        <v>187</v>
      </c>
      <c r="E298">
        <v>58</v>
      </c>
      <c r="F298" t="s">
        <v>20</v>
      </c>
      <c r="G298" t="s">
        <v>27</v>
      </c>
      <c r="H298" s="1">
        <v>137</v>
      </c>
      <c r="I298" s="1">
        <v>1543</v>
      </c>
      <c r="J298" s="2">
        <v>14031</v>
      </c>
      <c r="K298" s="1">
        <v>11.262773722627736</v>
      </c>
      <c r="L298" s="1">
        <v>9.0933246921581343</v>
      </c>
      <c r="M298" s="1">
        <v>102.41605839416059</v>
      </c>
      <c r="N29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299" spans="1:14" x14ac:dyDescent="0.3">
      <c r="A299">
        <v>2020</v>
      </c>
      <c r="B299" t="s">
        <v>87</v>
      </c>
      <c r="C299">
        <v>2</v>
      </c>
      <c r="D299" t="s">
        <v>69</v>
      </c>
      <c r="E299">
        <v>375</v>
      </c>
      <c r="F299" t="s">
        <v>20</v>
      </c>
      <c r="G299" t="s">
        <v>3</v>
      </c>
      <c r="H299" s="1">
        <v>17</v>
      </c>
      <c r="I299" s="1">
        <v>144</v>
      </c>
      <c r="J299" s="2">
        <v>1150</v>
      </c>
      <c r="K299" s="1">
        <v>8.4705882352941178</v>
      </c>
      <c r="L299" s="1">
        <v>7.9861111111111107</v>
      </c>
      <c r="M299" s="1">
        <v>67.647058823529406</v>
      </c>
      <c r="N29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00" spans="1:14" x14ac:dyDescent="0.3">
      <c r="A300">
        <v>2020</v>
      </c>
      <c r="B300" t="s">
        <v>53</v>
      </c>
      <c r="C300">
        <v>27</v>
      </c>
      <c r="D300" t="s">
        <v>54</v>
      </c>
      <c r="E300">
        <v>474</v>
      </c>
      <c r="F300" t="s">
        <v>25</v>
      </c>
      <c r="G300" t="s">
        <v>3</v>
      </c>
      <c r="H300" s="1">
        <v>0</v>
      </c>
      <c r="I300" s="1">
        <v>0</v>
      </c>
      <c r="J300" s="2">
        <v>0</v>
      </c>
      <c r="K300" s="1">
        <v>0</v>
      </c>
      <c r="L300" s="1">
        <v>0</v>
      </c>
      <c r="M300" s="1">
        <v>0</v>
      </c>
      <c r="N30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1" spans="1:14" x14ac:dyDescent="0.3">
      <c r="A301">
        <v>2020</v>
      </c>
      <c r="B301" t="s">
        <v>56</v>
      </c>
      <c r="C301">
        <v>5</v>
      </c>
      <c r="D301" t="s">
        <v>191</v>
      </c>
      <c r="E301">
        <v>53</v>
      </c>
      <c r="F301" t="s">
        <v>2</v>
      </c>
      <c r="G301" t="s">
        <v>13</v>
      </c>
      <c r="H301" s="1">
        <v>65</v>
      </c>
      <c r="I301" s="1">
        <v>584</v>
      </c>
      <c r="J301" s="2">
        <v>2181</v>
      </c>
      <c r="K301" s="1">
        <v>8.9846153846153847</v>
      </c>
      <c r="L301" s="1">
        <v>3.7345890410958904</v>
      </c>
      <c r="M301" s="1">
        <v>33.553846153846152</v>
      </c>
      <c r="N30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02" spans="1:14" x14ac:dyDescent="0.3">
      <c r="A302">
        <v>2020</v>
      </c>
      <c r="B302" t="s">
        <v>0</v>
      </c>
      <c r="C302">
        <v>9</v>
      </c>
      <c r="D302" t="s">
        <v>194</v>
      </c>
      <c r="E302">
        <v>178</v>
      </c>
      <c r="F302" t="s">
        <v>2</v>
      </c>
      <c r="G302" t="s">
        <v>13</v>
      </c>
      <c r="H302" s="1">
        <v>0</v>
      </c>
      <c r="I302" s="1">
        <v>0</v>
      </c>
      <c r="J302" s="2">
        <v>0</v>
      </c>
      <c r="K302" s="1">
        <v>0</v>
      </c>
      <c r="L302" s="1">
        <v>0</v>
      </c>
      <c r="M302" s="1">
        <v>0</v>
      </c>
      <c r="N30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3" spans="1:14" x14ac:dyDescent="0.3">
      <c r="A303">
        <v>2020</v>
      </c>
      <c r="B303" t="s">
        <v>56</v>
      </c>
      <c r="C303">
        <v>5</v>
      </c>
      <c r="D303" t="s">
        <v>198</v>
      </c>
      <c r="E303">
        <v>45</v>
      </c>
      <c r="F303" t="s">
        <v>2</v>
      </c>
      <c r="G303" t="s">
        <v>13</v>
      </c>
      <c r="H303" s="1">
        <v>0</v>
      </c>
      <c r="I303" s="1">
        <v>0</v>
      </c>
      <c r="J303" s="2">
        <v>0</v>
      </c>
      <c r="K303" s="1">
        <v>0</v>
      </c>
      <c r="L303" s="1">
        <v>0</v>
      </c>
      <c r="M303" s="1">
        <v>0</v>
      </c>
      <c r="N30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4" spans="1:14" x14ac:dyDescent="0.3">
      <c r="A304">
        <v>2020</v>
      </c>
      <c r="B304" t="s">
        <v>0</v>
      </c>
      <c r="C304">
        <v>9</v>
      </c>
      <c r="D304" t="s">
        <v>194</v>
      </c>
      <c r="E304">
        <v>178</v>
      </c>
      <c r="F304" t="s">
        <v>2</v>
      </c>
      <c r="G304" t="s">
        <v>3</v>
      </c>
      <c r="H304" s="1">
        <v>0</v>
      </c>
      <c r="I304" s="1">
        <v>0</v>
      </c>
      <c r="J304" s="2">
        <v>0</v>
      </c>
      <c r="K304" s="1">
        <v>0</v>
      </c>
      <c r="L304" s="1">
        <v>0</v>
      </c>
      <c r="M304" s="1">
        <v>0</v>
      </c>
      <c r="N30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5" spans="1:14" x14ac:dyDescent="0.3">
      <c r="A305">
        <v>2020</v>
      </c>
      <c r="B305" t="s">
        <v>4</v>
      </c>
      <c r="C305">
        <v>10</v>
      </c>
      <c r="D305" t="s">
        <v>203</v>
      </c>
      <c r="E305">
        <v>198</v>
      </c>
      <c r="F305" t="s">
        <v>6</v>
      </c>
      <c r="G305" t="s">
        <v>13</v>
      </c>
      <c r="H305" s="1">
        <v>73</v>
      </c>
      <c r="I305" s="1">
        <v>1398</v>
      </c>
      <c r="J305" s="2">
        <v>1868</v>
      </c>
      <c r="K305" s="1">
        <v>19.150684931506849</v>
      </c>
      <c r="L305" s="1">
        <v>1.3361945636623749</v>
      </c>
      <c r="M305" s="1">
        <v>25.589041095890412</v>
      </c>
      <c r="N30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06" spans="1:14" x14ac:dyDescent="0.3">
      <c r="A306">
        <v>2020</v>
      </c>
      <c r="B306" t="s">
        <v>28</v>
      </c>
      <c r="C306">
        <v>36</v>
      </c>
      <c r="D306" t="s">
        <v>208</v>
      </c>
      <c r="E306">
        <v>508</v>
      </c>
      <c r="F306" t="s">
        <v>9</v>
      </c>
      <c r="G306" t="s">
        <v>13</v>
      </c>
      <c r="H306" s="1">
        <v>0</v>
      </c>
      <c r="I306" s="1">
        <v>0</v>
      </c>
      <c r="J306" s="2">
        <v>0</v>
      </c>
      <c r="K306" s="1">
        <v>0</v>
      </c>
      <c r="L306" s="1">
        <v>0</v>
      </c>
      <c r="M306" s="1">
        <v>0</v>
      </c>
      <c r="N30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7" spans="1:14" x14ac:dyDescent="0.3">
      <c r="A307">
        <v>2020</v>
      </c>
      <c r="B307" t="s">
        <v>7</v>
      </c>
      <c r="C307">
        <v>33</v>
      </c>
      <c r="D307" t="s">
        <v>213</v>
      </c>
      <c r="E307">
        <v>731</v>
      </c>
      <c r="F307" t="s">
        <v>9</v>
      </c>
      <c r="G307" t="s">
        <v>3</v>
      </c>
      <c r="H307" s="1">
        <v>0</v>
      </c>
      <c r="I307" s="1">
        <v>0</v>
      </c>
      <c r="J307" s="2">
        <v>0</v>
      </c>
      <c r="K307" s="1">
        <v>0</v>
      </c>
      <c r="L307" s="1">
        <v>0</v>
      </c>
      <c r="M307" s="1">
        <v>0</v>
      </c>
      <c r="N30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08" spans="1:14" x14ac:dyDescent="0.3">
      <c r="A308">
        <v>2020</v>
      </c>
      <c r="B308" t="s">
        <v>28</v>
      </c>
      <c r="C308">
        <v>36</v>
      </c>
      <c r="D308" t="s">
        <v>55</v>
      </c>
      <c r="E308">
        <v>685</v>
      </c>
      <c r="F308" t="s">
        <v>9</v>
      </c>
      <c r="G308" t="s">
        <v>13</v>
      </c>
      <c r="H308" s="1">
        <v>47</v>
      </c>
      <c r="I308" s="1">
        <v>608</v>
      </c>
      <c r="J308" s="2">
        <v>770</v>
      </c>
      <c r="K308" s="1">
        <v>12.936170212765957</v>
      </c>
      <c r="L308" s="1">
        <v>1.2664473684210527</v>
      </c>
      <c r="M308" s="1">
        <v>16.382978723404257</v>
      </c>
      <c r="N30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09" spans="1:14" x14ac:dyDescent="0.3">
      <c r="A309">
        <v>2020</v>
      </c>
      <c r="B309" t="s">
        <v>0</v>
      </c>
      <c r="C309">
        <v>9</v>
      </c>
      <c r="D309" t="s">
        <v>220</v>
      </c>
      <c r="E309">
        <v>164</v>
      </c>
      <c r="F309" t="s">
        <v>2</v>
      </c>
      <c r="G309" t="s">
        <v>13</v>
      </c>
      <c r="H309" s="1">
        <v>103</v>
      </c>
      <c r="I309" s="1">
        <v>2324</v>
      </c>
      <c r="J309" s="2">
        <v>3127</v>
      </c>
      <c r="K309" s="1">
        <v>22.563106796116504</v>
      </c>
      <c r="L309" s="1">
        <v>1.3455249569707401</v>
      </c>
      <c r="M309" s="1">
        <v>30.359223300970875</v>
      </c>
      <c r="N30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0" spans="1:14" x14ac:dyDescent="0.3">
      <c r="A310">
        <v>2020</v>
      </c>
      <c r="B310" t="s">
        <v>4</v>
      </c>
      <c r="C310">
        <v>10</v>
      </c>
      <c r="D310" t="s">
        <v>223</v>
      </c>
      <c r="E310">
        <v>215</v>
      </c>
      <c r="F310" t="s">
        <v>6</v>
      </c>
      <c r="G310" t="s">
        <v>13</v>
      </c>
      <c r="H310" s="1">
        <v>0</v>
      </c>
      <c r="I310" s="1">
        <v>0</v>
      </c>
      <c r="J310" s="2">
        <v>0</v>
      </c>
      <c r="K310" s="1">
        <v>0</v>
      </c>
      <c r="L310" s="1">
        <v>0</v>
      </c>
      <c r="M310" s="1">
        <v>0</v>
      </c>
      <c r="N31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11" spans="1:14" x14ac:dyDescent="0.3">
      <c r="A311">
        <v>2020</v>
      </c>
      <c r="B311" t="s">
        <v>60</v>
      </c>
      <c r="C311">
        <v>6</v>
      </c>
      <c r="D311" t="s">
        <v>187</v>
      </c>
      <c r="E311">
        <v>58</v>
      </c>
      <c r="F311" t="s">
        <v>20</v>
      </c>
      <c r="G311" t="s">
        <v>13</v>
      </c>
      <c r="H311" s="1">
        <v>111</v>
      </c>
      <c r="I311" s="1">
        <v>812</v>
      </c>
      <c r="J311" s="2">
        <v>3252</v>
      </c>
      <c r="K311" s="1">
        <v>7.3153153153153152</v>
      </c>
      <c r="L311" s="1">
        <v>4.0049261083743843</v>
      </c>
      <c r="M311" s="1">
        <v>29.297297297297298</v>
      </c>
      <c r="N31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2" spans="1:14" x14ac:dyDescent="0.3">
      <c r="A312">
        <v>2020</v>
      </c>
      <c r="B312" t="s">
        <v>60</v>
      </c>
      <c r="C312">
        <v>6</v>
      </c>
      <c r="D312" t="s">
        <v>226</v>
      </c>
      <c r="E312">
        <v>619</v>
      </c>
      <c r="F312" t="s">
        <v>20</v>
      </c>
      <c r="G312" t="s">
        <v>27</v>
      </c>
      <c r="H312" s="1">
        <v>35</v>
      </c>
      <c r="I312" s="1">
        <v>556</v>
      </c>
      <c r="J312" s="2">
        <v>3007</v>
      </c>
      <c r="K312" s="1">
        <v>15.885714285714286</v>
      </c>
      <c r="L312" s="1">
        <v>5.4082733812949639</v>
      </c>
      <c r="M312" s="1">
        <v>85.914285714285711</v>
      </c>
      <c r="N31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3" spans="1:14" x14ac:dyDescent="0.3">
      <c r="A313">
        <v>2020</v>
      </c>
      <c r="B313" t="s">
        <v>60</v>
      </c>
      <c r="C313">
        <v>6</v>
      </c>
      <c r="D313" t="s">
        <v>227</v>
      </c>
      <c r="E313">
        <v>76</v>
      </c>
      <c r="F313" t="s">
        <v>20</v>
      </c>
      <c r="G313" t="s">
        <v>27</v>
      </c>
      <c r="H313" s="1">
        <v>106</v>
      </c>
      <c r="I313" s="1">
        <v>1230</v>
      </c>
      <c r="J313" s="2">
        <v>9100</v>
      </c>
      <c r="K313" s="1">
        <v>11.60377358490566</v>
      </c>
      <c r="L313" s="1">
        <v>7.3983739837398375</v>
      </c>
      <c r="M313" s="1">
        <v>85.84905660377359</v>
      </c>
      <c r="N31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14" spans="1:14" x14ac:dyDescent="0.3">
      <c r="A314">
        <v>2020</v>
      </c>
      <c r="B314" t="s">
        <v>23</v>
      </c>
      <c r="C314">
        <v>24</v>
      </c>
      <c r="D314" t="s">
        <v>234</v>
      </c>
      <c r="E314">
        <v>442</v>
      </c>
      <c r="F314" t="s">
        <v>25</v>
      </c>
      <c r="G314" t="s">
        <v>3</v>
      </c>
      <c r="H314" s="1">
        <v>108</v>
      </c>
      <c r="I314" s="1">
        <v>1287</v>
      </c>
      <c r="J314" s="2">
        <v>8056</v>
      </c>
      <c r="K314" s="1">
        <v>11.916666666666666</v>
      </c>
      <c r="L314" s="1">
        <v>6.2595182595182592</v>
      </c>
      <c r="M314" s="1">
        <v>74.592592592592595</v>
      </c>
      <c r="N31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5" spans="1:14" x14ac:dyDescent="0.3">
      <c r="A315">
        <v>2020</v>
      </c>
      <c r="B315" t="s">
        <v>28</v>
      </c>
      <c r="C315">
        <v>36</v>
      </c>
      <c r="D315" t="s">
        <v>235</v>
      </c>
      <c r="E315">
        <v>689</v>
      </c>
      <c r="F315" t="s">
        <v>9</v>
      </c>
      <c r="G315" t="s">
        <v>3</v>
      </c>
      <c r="H315" s="1">
        <v>22</v>
      </c>
      <c r="I315" s="1">
        <v>308</v>
      </c>
      <c r="J315" s="2">
        <v>795</v>
      </c>
      <c r="K315" s="1">
        <v>14</v>
      </c>
      <c r="L315" s="1">
        <v>2.581168831168831</v>
      </c>
      <c r="M315" s="1">
        <v>36.136363636363633</v>
      </c>
      <c r="N31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6" spans="1:14" x14ac:dyDescent="0.3">
      <c r="A316">
        <v>2020</v>
      </c>
      <c r="B316" t="s">
        <v>4</v>
      </c>
      <c r="C316">
        <v>10</v>
      </c>
      <c r="D316" t="s">
        <v>237</v>
      </c>
      <c r="E316">
        <v>209</v>
      </c>
      <c r="F316" t="s">
        <v>6</v>
      </c>
      <c r="G316" t="s">
        <v>3</v>
      </c>
      <c r="H316" s="1">
        <v>0</v>
      </c>
      <c r="I316" s="1">
        <v>0</v>
      </c>
      <c r="J316" s="2">
        <v>0</v>
      </c>
      <c r="K316" s="1">
        <v>0</v>
      </c>
      <c r="L316" s="1">
        <v>0</v>
      </c>
      <c r="M316" s="1">
        <v>0</v>
      </c>
      <c r="N31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17" spans="1:14" x14ac:dyDescent="0.3">
      <c r="A317">
        <v>2020</v>
      </c>
      <c r="B317" t="s">
        <v>65</v>
      </c>
      <c r="C317">
        <v>22</v>
      </c>
      <c r="D317" t="s">
        <v>238</v>
      </c>
      <c r="E317">
        <v>389</v>
      </c>
      <c r="F317" t="s">
        <v>2</v>
      </c>
      <c r="G317" t="s">
        <v>13</v>
      </c>
      <c r="H317" s="1">
        <v>48</v>
      </c>
      <c r="I317" s="1">
        <v>992</v>
      </c>
      <c r="J317" s="2">
        <v>1513</v>
      </c>
      <c r="K317" s="1">
        <v>20.666666666666668</v>
      </c>
      <c r="L317" s="1">
        <v>1.5252016129032258</v>
      </c>
      <c r="M317" s="1">
        <v>31.520833333333332</v>
      </c>
      <c r="N31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8" spans="1:14" x14ac:dyDescent="0.3">
      <c r="A318">
        <v>2020</v>
      </c>
      <c r="B318" t="s">
        <v>65</v>
      </c>
      <c r="C318">
        <v>22</v>
      </c>
      <c r="D318" t="s">
        <v>239</v>
      </c>
      <c r="E318">
        <v>385</v>
      </c>
      <c r="F318" t="s">
        <v>2</v>
      </c>
      <c r="G318" t="s">
        <v>3</v>
      </c>
      <c r="H318" s="1">
        <v>64</v>
      </c>
      <c r="I318" s="1">
        <v>954</v>
      </c>
      <c r="J318" s="2">
        <v>1978</v>
      </c>
      <c r="K318" s="1">
        <v>14.90625</v>
      </c>
      <c r="L318" s="1">
        <v>2.0733752620545074</v>
      </c>
      <c r="M318" s="1">
        <v>30.90625</v>
      </c>
      <c r="N31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19" spans="1:14" x14ac:dyDescent="0.3">
      <c r="A319">
        <v>2020</v>
      </c>
      <c r="B319" t="s">
        <v>38</v>
      </c>
      <c r="C319">
        <v>23</v>
      </c>
      <c r="D319" t="s">
        <v>241</v>
      </c>
      <c r="E319">
        <v>422</v>
      </c>
      <c r="F319" t="s">
        <v>2</v>
      </c>
      <c r="G319" t="s">
        <v>3</v>
      </c>
      <c r="H319" s="1">
        <v>0</v>
      </c>
      <c r="I319" s="1">
        <v>0</v>
      </c>
      <c r="J319" s="2">
        <v>0</v>
      </c>
      <c r="K319" s="1">
        <v>0</v>
      </c>
      <c r="L319" s="1">
        <v>0</v>
      </c>
      <c r="M319" s="1">
        <v>0</v>
      </c>
      <c r="N31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20" spans="1:14" x14ac:dyDescent="0.3">
      <c r="A320">
        <v>2020</v>
      </c>
      <c r="B320" t="s">
        <v>4</v>
      </c>
      <c r="C320">
        <v>10</v>
      </c>
      <c r="D320" t="s">
        <v>50</v>
      </c>
      <c r="E320">
        <v>191</v>
      </c>
      <c r="F320" t="s">
        <v>6</v>
      </c>
      <c r="G320" t="s">
        <v>27</v>
      </c>
      <c r="H320" s="1">
        <v>46</v>
      </c>
      <c r="I320" s="1">
        <v>637</v>
      </c>
      <c r="J320" s="2">
        <v>2853</v>
      </c>
      <c r="K320" s="1">
        <v>13.847826086956522</v>
      </c>
      <c r="L320" s="1">
        <v>4.4788069073783356</v>
      </c>
      <c r="M320" s="1">
        <v>62.021739130434781</v>
      </c>
      <c r="N32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21" spans="1:14" x14ac:dyDescent="0.3">
      <c r="A321">
        <v>2020</v>
      </c>
      <c r="B321" t="s">
        <v>30</v>
      </c>
      <c r="C321">
        <v>32</v>
      </c>
      <c r="D321" t="s">
        <v>249</v>
      </c>
      <c r="E321">
        <v>554</v>
      </c>
      <c r="F321" t="s">
        <v>9</v>
      </c>
      <c r="G321" t="s">
        <v>3</v>
      </c>
      <c r="H321" s="1">
        <v>0</v>
      </c>
      <c r="I321" s="1">
        <v>0</v>
      </c>
      <c r="J321" s="2">
        <v>0</v>
      </c>
      <c r="K321" s="1">
        <v>0</v>
      </c>
      <c r="L321" s="1">
        <v>0</v>
      </c>
      <c r="M321" s="1">
        <v>0</v>
      </c>
      <c r="N32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22" spans="1:14" x14ac:dyDescent="0.3">
      <c r="A322">
        <v>2020</v>
      </c>
      <c r="B322" t="s">
        <v>23</v>
      </c>
      <c r="C322">
        <v>24</v>
      </c>
      <c r="D322" t="s">
        <v>250</v>
      </c>
      <c r="E322">
        <v>453</v>
      </c>
      <c r="F322" t="s">
        <v>25</v>
      </c>
      <c r="G322" t="s">
        <v>3</v>
      </c>
      <c r="H322" s="1">
        <v>0</v>
      </c>
      <c r="I322" s="1">
        <v>0</v>
      </c>
      <c r="J322" s="2">
        <v>0</v>
      </c>
      <c r="K322" s="1">
        <v>0</v>
      </c>
      <c r="L322" s="1">
        <v>0</v>
      </c>
      <c r="M322" s="1">
        <v>0</v>
      </c>
      <c r="N32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23" spans="1:14" x14ac:dyDescent="0.3">
      <c r="A323">
        <v>2020</v>
      </c>
      <c r="B323" t="s">
        <v>41</v>
      </c>
      <c r="C323">
        <v>29</v>
      </c>
      <c r="D323" t="s">
        <v>165</v>
      </c>
      <c r="E323">
        <v>549</v>
      </c>
      <c r="F323" t="s">
        <v>9</v>
      </c>
      <c r="G323" t="s">
        <v>27</v>
      </c>
      <c r="H323" s="1">
        <v>0</v>
      </c>
      <c r="I323" s="1">
        <v>0</v>
      </c>
      <c r="J323" s="2">
        <v>0</v>
      </c>
      <c r="K323" s="1">
        <v>0</v>
      </c>
      <c r="L323" s="1">
        <v>0</v>
      </c>
      <c r="M323" s="1">
        <v>0</v>
      </c>
      <c r="N32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24" spans="1:14" x14ac:dyDescent="0.3">
      <c r="A324">
        <v>2020</v>
      </c>
      <c r="B324" t="s">
        <v>77</v>
      </c>
      <c r="C324">
        <v>8</v>
      </c>
      <c r="D324" t="s">
        <v>166</v>
      </c>
      <c r="E324">
        <v>117</v>
      </c>
      <c r="F324" t="s">
        <v>20</v>
      </c>
      <c r="G324" t="s">
        <v>13</v>
      </c>
      <c r="H324" s="1">
        <v>0</v>
      </c>
      <c r="I324" s="1">
        <v>0</v>
      </c>
      <c r="J324" s="2">
        <v>0</v>
      </c>
      <c r="K324" s="1">
        <v>0</v>
      </c>
      <c r="L324" s="1">
        <v>0</v>
      </c>
      <c r="M324" s="1">
        <v>0</v>
      </c>
      <c r="N32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25" spans="1:14" x14ac:dyDescent="0.3">
      <c r="A325">
        <v>2020</v>
      </c>
      <c r="B325" t="s">
        <v>0</v>
      </c>
      <c r="C325">
        <v>9</v>
      </c>
      <c r="D325" t="s">
        <v>147</v>
      </c>
      <c r="E325">
        <v>153</v>
      </c>
      <c r="F325" t="s">
        <v>2</v>
      </c>
      <c r="G325" t="s">
        <v>13</v>
      </c>
      <c r="H325" s="1">
        <v>51</v>
      </c>
      <c r="I325" s="1">
        <v>711</v>
      </c>
      <c r="J325" s="2">
        <v>1608</v>
      </c>
      <c r="K325" s="1">
        <v>13.941176470588236</v>
      </c>
      <c r="L325" s="1">
        <v>2.2616033755274261</v>
      </c>
      <c r="M325" s="1">
        <v>31.529411764705884</v>
      </c>
      <c r="N32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26" spans="1:14" x14ac:dyDescent="0.3">
      <c r="A326">
        <v>2020</v>
      </c>
      <c r="B326" t="s">
        <v>0</v>
      </c>
      <c r="C326">
        <v>9</v>
      </c>
      <c r="D326" t="s">
        <v>255</v>
      </c>
      <c r="E326">
        <v>142</v>
      </c>
      <c r="F326" t="s">
        <v>2</v>
      </c>
      <c r="G326" t="s">
        <v>13</v>
      </c>
      <c r="H326" s="1">
        <v>111</v>
      </c>
      <c r="I326" s="1">
        <v>1800</v>
      </c>
      <c r="J326" s="2">
        <v>3021</v>
      </c>
      <c r="K326" s="1">
        <v>16.216216216216218</v>
      </c>
      <c r="L326" s="1">
        <v>1.6783333333333332</v>
      </c>
      <c r="M326" s="1">
        <v>27.216216216216218</v>
      </c>
      <c r="N32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27" spans="1:14" x14ac:dyDescent="0.3">
      <c r="A327">
        <v>2020</v>
      </c>
      <c r="B327" t="s">
        <v>4</v>
      </c>
      <c r="C327">
        <v>10</v>
      </c>
      <c r="D327" t="s">
        <v>257</v>
      </c>
      <c r="E327">
        <v>204</v>
      </c>
      <c r="F327" t="s">
        <v>6</v>
      </c>
      <c r="G327" t="s">
        <v>13</v>
      </c>
      <c r="H327" s="1">
        <v>44</v>
      </c>
      <c r="I327" s="1">
        <v>595</v>
      </c>
      <c r="J327" s="2">
        <v>1006</v>
      </c>
      <c r="K327" s="1">
        <v>13.522727272727273</v>
      </c>
      <c r="L327" s="1">
        <v>1.6907563025210084</v>
      </c>
      <c r="M327" s="1">
        <v>22.863636363636363</v>
      </c>
      <c r="N32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28" spans="1:14" x14ac:dyDescent="0.3">
      <c r="A328">
        <v>2020</v>
      </c>
      <c r="B328" t="s">
        <v>44</v>
      </c>
      <c r="C328">
        <v>3</v>
      </c>
      <c r="D328" t="s">
        <v>258</v>
      </c>
      <c r="E328">
        <v>41</v>
      </c>
      <c r="F328" t="s">
        <v>20</v>
      </c>
      <c r="G328" t="s">
        <v>3</v>
      </c>
      <c r="H328" s="1">
        <v>119</v>
      </c>
      <c r="I328" s="1">
        <v>1415</v>
      </c>
      <c r="J328" s="2">
        <v>7629</v>
      </c>
      <c r="K328" s="1">
        <v>11.890756302521009</v>
      </c>
      <c r="L328" s="1">
        <v>5.3915194346289752</v>
      </c>
      <c r="M328" s="1">
        <v>64.109243697478988</v>
      </c>
      <c r="N32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29" spans="1:14" x14ac:dyDescent="0.3">
      <c r="A329">
        <v>2020</v>
      </c>
      <c r="B329" t="s">
        <v>28</v>
      </c>
      <c r="C329">
        <v>36</v>
      </c>
      <c r="D329" t="s">
        <v>193</v>
      </c>
      <c r="E329">
        <v>514</v>
      </c>
      <c r="F329" t="s">
        <v>9</v>
      </c>
      <c r="G329" t="s">
        <v>27</v>
      </c>
      <c r="H329" s="1">
        <v>0</v>
      </c>
      <c r="I329" s="1">
        <v>0</v>
      </c>
      <c r="J329" s="2">
        <v>0</v>
      </c>
      <c r="K329" s="1">
        <v>0</v>
      </c>
      <c r="L329" s="1">
        <v>0</v>
      </c>
      <c r="M329" s="1">
        <v>0</v>
      </c>
      <c r="N32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30" spans="1:14" x14ac:dyDescent="0.3">
      <c r="A330">
        <v>2020</v>
      </c>
      <c r="B330" t="s">
        <v>23</v>
      </c>
      <c r="C330">
        <v>24</v>
      </c>
      <c r="D330" t="s">
        <v>35</v>
      </c>
      <c r="E330">
        <v>438</v>
      </c>
      <c r="F330" t="s">
        <v>25</v>
      </c>
      <c r="G330" t="s">
        <v>17</v>
      </c>
      <c r="H330" s="1">
        <v>1193</v>
      </c>
      <c r="I330" s="1">
        <v>13985</v>
      </c>
      <c r="J330" s="2">
        <v>196020</v>
      </c>
      <c r="K330" s="1">
        <v>11.72254819782062</v>
      </c>
      <c r="L330" s="1">
        <v>14.016446192348946</v>
      </c>
      <c r="M330" s="1">
        <v>164.30846605196982</v>
      </c>
      <c r="N33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331" spans="1:14" x14ac:dyDescent="0.3">
      <c r="A331">
        <v>2020</v>
      </c>
      <c r="B331" t="s">
        <v>79</v>
      </c>
      <c r="C331">
        <v>20</v>
      </c>
      <c r="D331" t="s">
        <v>260</v>
      </c>
      <c r="E331">
        <v>326</v>
      </c>
      <c r="F331" t="s">
        <v>6</v>
      </c>
      <c r="G331" t="s">
        <v>3</v>
      </c>
      <c r="H331" s="1">
        <v>40</v>
      </c>
      <c r="I331" s="1">
        <v>505</v>
      </c>
      <c r="J331" s="2">
        <v>2409</v>
      </c>
      <c r="K331" s="1">
        <v>12.625</v>
      </c>
      <c r="L331" s="1">
        <v>4.7702970297029701</v>
      </c>
      <c r="M331" s="1">
        <v>60.225000000000001</v>
      </c>
      <c r="N33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2" spans="1:14" x14ac:dyDescent="0.3">
      <c r="A332">
        <v>2020</v>
      </c>
      <c r="B332" t="s">
        <v>60</v>
      </c>
      <c r="C332">
        <v>6</v>
      </c>
      <c r="D332" t="s">
        <v>261</v>
      </c>
      <c r="E332">
        <v>73</v>
      </c>
      <c r="F332" t="s">
        <v>20</v>
      </c>
      <c r="G332" t="s">
        <v>3</v>
      </c>
      <c r="H332" s="1">
        <v>34</v>
      </c>
      <c r="I332" s="1">
        <v>387</v>
      </c>
      <c r="J332" s="2">
        <v>1942</v>
      </c>
      <c r="K332" s="1">
        <v>11.382352941176471</v>
      </c>
      <c r="L332" s="1">
        <v>5.018087855297158</v>
      </c>
      <c r="M332" s="1">
        <v>57.117647058823529</v>
      </c>
      <c r="N33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3" spans="1:14" x14ac:dyDescent="0.3">
      <c r="A333">
        <v>2020</v>
      </c>
      <c r="B333" t="s">
        <v>30</v>
      </c>
      <c r="C333">
        <v>32</v>
      </c>
      <c r="D333" t="s">
        <v>134</v>
      </c>
      <c r="E333">
        <v>564</v>
      </c>
      <c r="F333" t="s">
        <v>9</v>
      </c>
      <c r="G333" t="s">
        <v>13</v>
      </c>
      <c r="H333" s="1">
        <v>0</v>
      </c>
      <c r="I333" s="1">
        <v>0</v>
      </c>
      <c r="J333" s="2">
        <v>0</v>
      </c>
      <c r="K333" s="1">
        <v>0</v>
      </c>
      <c r="L333" s="1">
        <v>0</v>
      </c>
      <c r="M333" s="1">
        <v>0</v>
      </c>
      <c r="N33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34" spans="1:14" x14ac:dyDescent="0.3">
      <c r="A334">
        <v>2020</v>
      </c>
      <c r="B334" t="s">
        <v>0</v>
      </c>
      <c r="C334">
        <v>9</v>
      </c>
      <c r="D334" t="s">
        <v>266</v>
      </c>
      <c r="E334">
        <v>131</v>
      </c>
      <c r="F334" t="s">
        <v>2</v>
      </c>
      <c r="G334" t="s">
        <v>27</v>
      </c>
      <c r="H334" s="1">
        <v>0</v>
      </c>
      <c r="I334" s="1">
        <v>0</v>
      </c>
      <c r="J334" s="2">
        <v>0</v>
      </c>
      <c r="K334" s="1">
        <v>0</v>
      </c>
      <c r="L334" s="1">
        <v>0</v>
      </c>
      <c r="M334" s="1">
        <v>0</v>
      </c>
      <c r="N33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35" spans="1:14" x14ac:dyDescent="0.3">
      <c r="A335">
        <v>2020</v>
      </c>
      <c r="B335" t="s">
        <v>14</v>
      </c>
      <c r="C335">
        <v>21</v>
      </c>
      <c r="D335" t="s">
        <v>267</v>
      </c>
      <c r="E335">
        <v>373</v>
      </c>
      <c r="F335" t="s">
        <v>6</v>
      </c>
      <c r="G335" t="s">
        <v>13</v>
      </c>
      <c r="H335" s="1">
        <v>110</v>
      </c>
      <c r="I335" s="1">
        <v>1653</v>
      </c>
      <c r="J335" s="2">
        <v>5258</v>
      </c>
      <c r="K335" s="1">
        <v>15.027272727272727</v>
      </c>
      <c r="L335" s="1">
        <v>3.1808832425892315</v>
      </c>
      <c r="M335" s="1">
        <v>47.8</v>
      </c>
      <c r="N33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6" spans="1:14" x14ac:dyDescent="0.3">
      <c r="A336">
        <v>2020</v>
      </c>
      <c r="B336" t="s">
        <v>23</v>
      </c>
      <c r="C336">
        <v>24</v>
      </c>
      <c r="D336" t="s">
        <v>270</v>
      </c>
      <c r="E336">
        <v>441</v>
      </c>
      <c r="F336" t="s">
        <v>25</v>
      </c>
      <c r="G336" t="s">
        <v>13</v>
      </c>
      <c r="H336" s="1">
        <v>89</v>
      </c>
      <c r="I336" s="1">
        <v>1266</v>
      </c>
      <c r="J336" s="2">
        <v>2025</v>
      </c>
      <c r="K336" s="1">
        <v>14.224719101123595</v>
      </c>
      <c r="L336" s="1">
        <v>1.5995260663507109</v>
      </c>
      <c r="M336" s="1">
        <v>22.752808988764045</v>
      </c>
      <c r="N33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7" spans="1:14" x14ac:dyDescent="0.3">
      <c r="A337">
        <v>2020</v>
      </c>
      <c r="B337" t="s">
        <v>38</v>
      </c>
      <c r="C337">
        <v>23</v>
      </c>
      <c r="D337" t="s">
        <v>271</v>
      </c>
      <c r="E337">
        <v>394</v>
      </c>
      <c r="F337" t="s">
        <v>2</v>
      </c>
      <c r="G337" t="s">
        <v>3</v>
      </c>
      <c r="H337" s="1">
        <v>0</v>
      </c>
      <c r="I337" s="1">
        <v>0</v>
      </c>
      <c r="J337" s="2">
        <v>0</v>
      </c>
      <c r="K337" s="1">
        <v>0</v>
      </c>
      <c r="L337" s="1">
        <v>0</v>
      </c>
      <c r="M337" s="1">
        <v>0</v>
      </c>
      <c r="N33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38" spans="1:14" x14ac:dyDescent="0.3">
      <c r="A338">
        <v>2020</v>
      </c>
      <c r="B338" t="s">
        <v>65</v>
      </c>
      <c r="C338">
        <v>22</v>
      </c>
      <c r="D338" t="s">
        <v>273</v>
      </c>
      <c r="E338">
        <v>734</v>
      </c>
      <c r="F338" t="s">
        <v>2</v>
      </c>
      <c r="G338" t="s">
        <v>13</v>
      </c>
      <c r="H338" s="1">
        <v>7</v>
      </c>
      <c r="I338" s="1">
        <v>187</v>
      </c>
      <c r="J338" s="2">
        <v>227</v>
      </c>
      <c r="K338" s="1">
        <v>26.714285714285715</v>
      </c>
      <c r="L338" s="1">
        <v>1.213903743315508</v>
      </c>
      <c r="M338" s="1">
        <v>32.428571428571431</v>
      </c>
      <c r="N33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39" spans="1:14" x14ac:dyDescent="0.3">
      <c r="A339">
        <v>2020</v>
      </c>
      <c r="B339" t="s">
        <v>0</v>
      </c>
      <c r="C339">
        <v>9</v>
      </c>
      <c r="D339" t="s">
        <v>111</v>
      </c>
      <c r="E339">
        <v>163</v>
      </c>
      <c r="F339" t="s">
        <v>2</v>
      </c>
      <c r="G339" t="s">
        <v>27</v>
      </c>
      <c r="H339" s="1">
        <v>43</v>
      </c>
      <c r="I339" s="1">
        <v>525</v>
      </c>
      <c r="J339" s="2">
        <v>2572</v>
      </c>
      <c r="K339" s="1">
        <v>12.209302325581396</v>
      </c>
      <c r="L339" s="1">
        <v>4.8990476190476189</v>
      </c>
      <c r="M339" s="1">
        <v>59.813953488372093</v>
      </c>
      <c r="N33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0" spans="1:14" x14ac:dyDescent="0.3">
      <c r="A340">
        <v>2020</v>
      </c>
      <c r="B340" t="s">
        <v>44</v>
      </c>
      <c r="C340">
        <v>3</v>
      </c>
      <c r="D340" t="s">
        <v>258</v>
      </c>
      <c r="E340">
        <v>41</v>
      </c>
      <c r="F340" t="s">
        <v>20</v>
      </c>
      <c r="G340" t="s">
        <v>27</v>
      </c>
      <c r="H340" s="1">
        <v>0</v>
      </c>
      <c r="I340" s="1">
        <v>0</v>
      </c>
      <c r="J340" s="2">
        <v>0</v>
      </c>
      <c r="K340" s="1">
        <v>0</v>
      </c>
      <c r="L340" s="1">
        <v>0</v>
      </c>
      <c r="M340" s="1">
        <v>0</v>
      </c>
      <c r="N34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41" spans="1:14" x14ac:dyDescent="0.3">
      <c r="A341">
        <v>2020</v>
      </c>
      <c r="B341" t="s">
        <v>7</v>
      </c>
      <c r="C341">
        <v>33</v>
      </c>
      <c r="D341" t="s">
        <v>277</v>
      </c>
      <c r="E341">
        <v>585</v>
      </c>
      <c r="F341" t="s">
        <v>9</v>
      </c>
      <c r="G341" t="s">
        <v>13</v>
      </c>
      <c r="H341" s="1">
        <v>0</v>
      </c>
      <c r="I341" s="1">
        <v>0</v>
      </c>
      <c r="J341" s="2">
        <v>0</v>
      </c>
      <c r="K341" s="1">
        <v>0</v>
      </c>
      <c r="L341" s="1">
        <v>0</v>
      </c>
      <c r="M341" s="1">
        <v>0</v>
      </c>
      <c r="N34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42" spans="1:14" x14ac:dyDescent="0.3">
      <c r="A342">
        <v>2020</v>
      </c>
      <c r="B342" t="s">
        <v>77</v>
      </c>
      <c r="C342">
        <v>8</v>
      </c>
      <c r="D342" t="s">
        <v>280</v>
      </c>
      <c r="E342">
        <v>108</v>
      </c>
      <c r="F342" t="s">
        <v>20</v>
      </c>
      <c r="G342" t="s">
        <v>13</v>
      </c>
      <c r="H342" s="1">
        <v>59</v>
      </c>
      <c r="I342" s="1">
        <v>860</v>
      </c>
      <c r="J342" s="2">
        <v>1301</v>
      </c>
      <c r="K342" s="1">
        <v>14.576271186440678</v>
      </c>
      <c r="L342" s="1">
        <v>1.5127906976744185</v>
      </c>
      <c r="M342" s="1">
        <v>22.050847457627118</v>
      </c>
      <c r="N34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3" spans="1:14" x14ac:dyDescent="0.3">
      <c r="A343">
        <v>2020</v>
      </c>
      <c r="B343" t="s">
        <v>14</v>
      </c>
      <c r="C343">
        <v>21</v>
      </c>
      <c r="D343" t="s">
        <v>267</v>
      </c>
      <c r="E343">
        <v>373</v>
      </c>
      <c r="F343" t="s">
        <v>6</v>
      </c>
      <c r="G343" t="s">
        <v>3</v>
      </c>
      <c r="H343" s="1">
        <v>48</v>
      </c>
      <c r="I343" s="1">
        <v>616</v>
      </c>
      <c r="J343" s="2">
        <v>4669</v>
      </c>
      <c r="K343" s="1">
        <v>12.833333333333334</v>
      </c>
      <c r="L343" s="1">
        <v>7.5795454545454541</v>
      </c>
      <c r="M343" s="1">
        <v>97.270833333333329</v>
      </c>
      <c r="N34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44" spans="1:14" x14ac:dyDescent="0.3">
      <c r="A344">
        <v>2020</v>
      </c>
      <c r="B344" t="s">
        <v>0</v>
      </c>
      <c r="C344">
        <v>9</v>
      </c>
      <c r="D344" t="s">
        <v>284</v>
      </c>
      <c r="E344">
        <v>143</v>
      </c>
      <c r="F344" t="s">
        <v>2</v>
      </c>
      <c r="G344" t="s">
        <v>13</v>
      </c>
      <c r="H344" s="1">
        <v>52</v>
      </c>
      <c r="I344" s="1">
        <v>778</v>
      </c>
      <c r="J344" s="2">
        <v>953</v>
      </c>
      <c r="K344" s="1">
        <v>14.961538461538462</v>
      </c>
      <c r="L344" s="1">
        <v>1.224935732647815</v>
      </c>
      <c r="M344" s="1">
        <v>18.326923076923077</v>
      </c>
      <c r="N34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5" spans="1:14" x14ac:dyDescent="0.3">
      <c r="A345">
        <v>2020</v>
      </c>
      <c r="B345" t="s">
        <v>30</v>
      </c>
      <c r="C345">
        <v>32</v>
      </c>
      <c r="D345" t="s">
        <v>134</v>
      </c>
      <c r="E345">
        <v>564</v>
      </c>
      <c r="F345" t="s">
        <v>9</v>
      </c>
      <c r="G345" t="s">
        <v>13</v>
      </c>
      <c r="H345" s="1">
        <v>9</v>
      </c>
      <c r="I345" s="1">
        <v>52</v>
      </c>
      <c r="J345" s="2">
        <v>678</v>
      </c>
      <c r="K345" s="1">
        <v>5.7777777777777777</v>
      </c>
      <c r="L345" s="1">
        <v>13.038461538461538</v>
      </c>
      <c r="M345" s="1">
        <v>75.333333333333329</v>
      </c>
      <c r="N34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346" spans="1:14" x14ac:dyDescent="0.3">
      <c r="A346">
        <v>2020</v>
      </c>
      <c r="B346" t="s">
        <v>41</v>
      </c>
      <c r="C346">
        <v>29</v>
      </c>
      <c r="D346" t="s">
        <v>286</v>
      </c>
      <c r="E346">
        <v>636</v>
      </c>
      <c r="F346" t="s">
        <v>9</v>
      </c>
      <c r="G346" t="s">
        <v>13</v>
      </c>
      <c r="H346" s="1">
        <v>110</v>
      </c>
      <c r="I346" s="1">
        <v>1404</v>
      </c>
      <c r="J346" s="2">
        <v>1749</v>
      </c>
      <c r="K346" s="1">
        <v>12.763636363636364</v>
      </c>
      <c r="L346" s="1">
        <v>1.2457264957264957</v>
      </c>
      <c r="M346" s="1">
        <v>15.9</v>
      </c>
      <c r="N34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7" spans="1:14" x14ac:dyDescent="0.3">
      <c r="A347">
        <v>2020</v>
      </c>
      <c r="B347" t="s">
        <v>10</v>
      </c>
      <c r="C347">
        <v>18</v>
      </c>
      <c r="D347" t="s">
        <v>289</v>
      </c>
      <c r="E347">
        <v>302</v>
      </c>
      <c r="F347" t="s">
        <v>12</v>
      </c>
      <c r="G347" t="s">
        <v>13</v>
      </c>
      <c r="H347" s="1">
        <v>52</v>
      </c>
      <c r="I347" s="1">
        <v>712</v>
      </c>
      <c r="J347" s="2">
        <v>1185</v>
      </c>
      <c r="K347" s="1">
        <v>13.692307692307692</v>
      </c>
      <c r="L347" s="1">
        <v>1.6643258426966292</v>
      </c>
      <c r="M347" s="1">
        <v>22.78846153846154</v>
      </c>
      <c r="N34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8" spans="1:14" x14ac:dyDescent="0.3">
      <c r="A348">
        <v>2020</v>
      </c>
      <c r="B348" t="s">
        <v>53</v>
      </c>
      <c r="C348">
        <v>27</v>
      </c>
      <c r="D348" t="s">
        <v>145</v>
      </c>
      <c r="E348">
        <v>466</v>
      </c>
      <c r="F348" t="s">
        <v>25</v>
      </c>
      <c r="G348" t="s">
        <v>13</v>
      </c>
      <c r="H348" s="1">
        <v>174</v>
      </c>
      <c r="I348" s="1">
        <v>2157</v>
      </c>
      <c r="J348" s="2">
        <v>4271</v>
      </c>
      <c r="K348" s="1">
        <v>12.396551724137931</v>
      </c>
      <c r="L348" s="1">
        <v>1.9800649049605934</v>
      </c>
      <c r="M348" s="1">
        <v>24.545977011494251</v>
      </c>
      <c r="N34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49" spans="1:14" x14ac:dyDescent="0.3">
      <c r="A349">
        <v>2020</v>
      </c>
      <c r="B349" t="s">
        <v>14</v>
      </c>
      <c r="C349">
        <v>21</v>
      </c>
      <c r="D349" t="s">
        <v>293</v>
      </c>
      <c r="E349">
        <v>362</v>
      </c>
      <c r="F349" t="s">
        <v>6</v>
      </c>
      <c r="G349" t="s">
        <v>3</v>
      </c>
      <c r="H349" s="1">
        <v>64</v>
      </c>
      <c r="I349" s="1">
        <v>798</v>
      </c>
      <c r="J349" s="2">
        <v>3639</v>
      </c>
      <c r="K349" s="1">
        <v>12.46875</v>
      </c>
      <c r="L349" s="1">
        <v>4.5601503759398501</v>
      </c>
      <c r="M349" s="1">
        <v>56.859375</v>
      </c>
      <c r="N34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50" spans="1:14" x14ac:dyDescent="0.3">
      <c r="A350">
        <v>2020</v>
      </c>
      <c r="B350" t="s">
        <v>295</v>
      </c>
      <c r="C350">
        <v>31</v>
      </c>
      <c r="D350" t="s">
        <v>296</v>
      </c>
      <c r="E350">
        <v>553</v>
      </c>
      <c r="F350" t="s">
        <v>9</v>
      </c>
      <c r="G350" t="s">
        <v>3</v>
      </c>
      <c r="H350" s="1">
        <v>7</v>
      </c>
      <c r="I350" s="1">
        <v>58</v>
      </c>
      <c r="J350" s="2">
        <v>804</v>
      </c>
      <c r="K350" s="1">
        <v>8.2857142857142865</v>
      </c>
      <c r="L350" s="1">
        <v>13.862068965517242</v>
      </c>
      <c r="M350" s="1">
        <v>114.85714285714286</v>
      </c>
      <c r="N35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351" spans="1:14" x14ac:dyDescent="0.3">
      <c r="A351">
        <v>2020</v>
      </c>
      <c r="B351" t="s">
        <v>10</v>
      </c>
      <c r="C351">
        <v>18</v>
      </c>
      <c r="D351" t="s">
        <v>299</v>
      </c>
      <c r="E351">
        <v>290</v>
      </c>
      <c r="F351" t="s">
        <v>12</v>
      </c>
      <c r="G351" t="s">
        <v>13</v>
      </c>
      <c r="H351" s="1">
        <v>0</v>
      </c>
      <c r="I351" s="1">
        <v>0</v>
      </c>
      <c r="J351" s="2">
        <v>0</v>
      </c>
      <c r="K351" s="1">
        <v>0</v>
      </c>
      <c r="L351" s="1">
        <v>0</v>
      </c>
      <c r="M351" s="1">
        <v>0</v>
      </c>
      <c r="N35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52" spans="1:14" x14ac:dyDescent="0.3">
      <c r="A352">
        <v>2020</v>
      </c>
      <c r="B352" t="s">
        <v>4</v>
      </c>
      <c r="C352">
        <v>10</v>
      </c>
      <c r="D352" t="s">
        <v>237</v>
      </c>
      <c r="E352">
        <v>209</v>
      </c>
      <c r="F352" t="s">
        <v>6</v>
      </c>
      <c r="G352" t="s">
        <v>27</v>
      </c>
      <c r="H352" s="1">
        <v>44</v>
      </c>
      <c r="I352" s="1">
        <v>853</v>
      </c>
      <c r="J352" s="2">
        <v>3911</v>
      </c>
      <c r="K352" s="1">
        <v>19.386363636363637</v>
      </c>
      <c r="L352" s="1">
        <v>4.5849941383352872</v>
      </c>
      <c r="M352" s="1">
        <v>88.88636363636364</v>
      </c>
      <c r="N35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53" spans="1:14" x14ac:dyDescent="0.3">
      <c r="A353">
        <v>2020</v>
      </c>
      <c r="B353" t="s">
        <v>7</v>
      </c>
      <c r="C353">
        <v>33</v>
      </c>
      <c r="D353" t="s">
        <v>72</v>
      </c>
      <c r="E353">
        <v>569</v>
      </c>
      <c r="F353" t="s">
        <v>9</v>
      </c>
      <c r="G353" t="s">
        <v>3</v>
      </c>
      <c r="H353" s="1">
        <v>272</v>
      </c>
      <c r="I353" s="1">
        <v>3126</v>
      </c>
      <c r="J353" s="2">
        <v>17305</v>
      </c>
      <c r="K353" s="1">
        <v>11.492647058823529</v>
      </c>
      <c r="L353" s="1">
        <v>5.5358285348688421</v>
      </c>
      <c r="M353" s="1">
        <v>63.621323529411768</v>
      </c>
      <c r="N35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54" spans="1:14" x14ac:dyDescent="0.3">
      <c r="A354">
        <v>2020</v>
      </c>
      <c r="B354" t="s">
        <v>21</v>
      </c>
      <c r="C354">
        <v>19</v>
      </c>
      <c r="D354" t="s">
        <v>303</v>
      </c>
      <c r="E354">
        <v>304</v>
      </c>
      <c r="F354" t="s">
        <v>6</v>
      </c>
      <c r="G354" t="s">
        <v>13</v>
      </c>
      <c r="H354" s="1">
        <v>0</v>
      </c>
      <c r="I354" s="1">
        <v>0</v>
      </c>
      <c r="J354" s="2">
        <v>0</v>
      </c>
      <c r="K354" s="1">
        <v>0</v>
      </c>
      <c r="L354" s="1">
        <v>0</v>
      </c>
      <c r="M354" s="1">
        <v>0</v>
      </c>
      <c r="N35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55" spans="1:14" x14ac:dyDescent="0.3">
      <c r="A355">
        <v>2020</v>
      </c>
      <c r="B355" t="s">
        <v>28</v>
      </c>
      <c r="C355">
        <v>36</v>
      </c>
      <c r="D355" t="s">
        <v>304</v>
      </c>
      <c r="E355">
        <v>699</v>
      </c>
      <c r="F355" t="s">
        <v>9</v>
      </c>
      <c r="G355" t="s">
        <v>13</v>
      </c>
      <c r="H355" s="1">
        <v>0</v>
      </c>
      <c r="I355" s="1">
        <v>0</v>
      </c>
      <c r="J355" s="2">
        <v>0</v>
      </c>
      <c r="K355" s="1">
        <v>0</v>
      </c>
      <c r="L355" s="1">
        <v>0</v>
      </c>
      <c r="M355" s="1">
        <v>0</v>
      </c>
      <c r="N35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56" spans="1:14" x14ac:dyDescent="0.3">
      <c r="A356">
        <v>2020</v>
      </c>
      <c r="B356" t="s">
        <v>44</v>
      </c>
      <c r="C356">
        <v>3</v>
      </c>
      <c r="D356" t="s">
        <v>305</v>
      </c>
      <c r="E356">
        <v>38</v>
      </c>
      <c r="F356" t="s">
        <v>20</v>
      </c>
      <c r="G356" t="s">
        <v>27</v>
      </c>
      <c r="H356" s="1">
        <v>67</v>
      </c>
      <c r="I356" s="1">
        <v>677</v>
      </c>
      <c r="J356" s="2">
        <v>4983</v>
      </c>
      <c r="K356" s="1">
        <v>10.104477611940299</v>
      </c>
      <c r="L356" s="1">
        <v>7.3604135893648452</v>
      </c>
      <c r="M356" s="1">
        <v>74.373134328358205</v>
      </c>
      <c r="N35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357" spans="1:14" x14ac:dyDescent="0.3">
      <c r="A357">
        <v>2020</v>
      </c>
      <c r="B357" t="s">
        <v>38</v>
      </c>
      <c r="C357">
        <v>23</v>
      </c>
      <c r="D357" t="s">
        <v>311</v>
      </c>
      <c r="E357">
        <v>397</v>
      </c>
      <c r="F357" t="s">
        <v>2</v>
      </c>
      <c r="G357" t="s">
        <v>13</v>
      </c>
      <c r="H357" s="1">
        <v>21</v>
      </c>
      <c r="I357" s="1">
        <v>304</v>
      </c>
      <c r="J357" s="2">
        <v>388</v>
      </c>
      <c r="K357" s="1">
        <v>14.476190476190476</v>
      </c>
      <c r="L357" s="1">
        <v>1.2763157894736843</v>
      </c>
      <c r="M357" s="1">
        <v>18.476190476190474</v>
      </c>
      <c r="N35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58" spans="1:14" x14ac:dyDescent="0.3">
      <c r="A358">
        <v>2020</v>
      </c>
      <c r="B358" t="s">
        <v>14</v>
      </c>
      <c r="C358">
        <v>21</v>
      </c>
      <c r="D358" t="s">
        <v>327</v>
      </c>
      <c r="E358">
        <v>357</v>
      </c>
      <c r="F358" t="s">
        <v>6</v>
      </c>
      <c r="G358" t="s">
        <v>13</v>
      </c>
      <c r="H358" s="1">
        <v>35</v>
      </c>
      <c r="I358" s="1">
        <v>426</v>
      </c>
      <c r="J358" s="2">
        <v>1127</v>
      </c>
      <c r="K358" s="1">
        <v>12.171428571428571</v>
      </c>
      <c r="L358" s="1">
        <v>2.6455399061032865</v>
      </c>
      <c r="M358" s="1">
        <v>32.200000000000003</v>
      </c>
      <c r="N35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59" spans="1:14" x14ac:dyDescent="0.3">
      <c r="A359">
        <v>2020</v>
      </c>
      <c r="B359" t="s">
        <v>328</v>
      </c>
      <c r="C359">
        <v>4</v>
      </c>
      <c r="D359" t="s">
        <v>328</v>
      </c>
      <c r="E359">
        <v>44</v>
      </c>
      <c r="F359" t="s">
        <v>20</v>
      </c>
      <c r="G359" t="s">
        <v>27</v>
      </c>
      <c r="H359" s="1">
        <v>437</v>
      </c>
      <c r="I359" s="1">
        <v>4192</v>
      </c>
      <c r="J359" s="2">
        <v>71788</v>
      </c>
      <c r="K359" s="1">
        <v>9.5926773455377568</v>
      </c>
      <c r="L359" s="1">
        <v>17.125</v>
      </c>
      <c r="M359" s="1">
        <v>164.2745995423341</v>
      </c>
      <c r="N35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360" spans="1:14" x14ac:dyDescent="0.3">
      <c r="A360">
        <v>2020</v>
      </c>
      <c r="B360" t="s">
        <v>344</v>
      </c>
      <c r="C360">
        <v>11</v>
      </c>
      <c r="D360" t="s">
        <v>345</v>
      </c>
      <c r="E360">
        <v>227</v>
      </c>
      <c r="F360" t="s">
        <v>6</v>
      </c>
      <c r="G360" t="s">
        <v>13</v>
      </c>
      <c r="H360" s="1">
        <v>0</v>
      </c>
      <c r="I360" s="1">
        <v>0</v>
      </c>
      <c r="J360" s="2">
        <v>0</v>
      </c>
      <c r="K360" s="1">
        <v>0</v>
      </c>
      <c r="L360" s="1">
        <v>0</v>
      </c>
      <c r="M360" s="1">
        <v>0</v>
      </c>
      <c r="N36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1" spans="1:14" x14ac:dyDescent="0.3">
      <c r="A361">
        <v>2020</v>
      </c>
      <c r="B361" t="s">
        <v>32</v>
      </c>
      <c r="C361">
        <v>14</v>
      </c>
      <c r="D361" t="s">
        <v>342</v>
      </c>
      <c r="E361">
        <v>255</v>
      </c>
      <c r="F361" t="s">
        <v>12</v>
      </c>
      <c r="G361" t="s">
        <v>13</v>
      </c>
      <c r="H361" s="1">
        <v>0</v>
      </c>
      <c r="I361" s="1">
        <v>0</v>
      </c>
      <c r="J361" s="2">
        <v>0</v>
      </c>
      <c r="K361" s="1">
        <v>0</v>
      </c>
      <c r="L361" s="1">
        <v>0</v>
      </c>
      <c r="M361" s="1">
        <v>0</v>
      </c>
      <c r="N36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2" spans="1:14" x14ac:dyDescent="0.3">
      <c r="A362">
        <v>2020</v>
      </c>
      <c r="B362" t="s">
        <v>87</v>
      </c>
      <c r="C362">
        <v>2</v>
      </c>
      <c r="D362" t="s">
        <v>202</v>
      </c>
      <c r="E362">
        <v>17</v>
      </c>
      <c r="F362" t="s">
        <v>20</v>
      </c>
      <c r="G362" t="s">
        <v>13</v>
      </c>
      <c r="H362" s="1">
        <v>95</v>
      </c>
      <c r="I362" s="1">
        <v>968</v>
      </c>
      <c r="J362" s="2">
        <v>5576</v>
      </c>
      <c r="K362" s="1">
        <v>10.189473684210526</v>
      </c>
      <c r="L362" s="1">
        <v>5.7603305785123968</v>
      </c>
      <c r="M362" s="1">
        <v>58.694736842105264</v>
      </c>
      <c r="N36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63" spans="1:14" x14ac:dyDescent="0.3">
      <c r="A363">
        <v>2020</v>
      </c>
      <c r="B363" t="s">
        <v>28</v>
      </c>
      <c r="C363">
        <v>36</v>
      </c>
      <c r="D363" t="s">
        <v>164</v>
      </c>
      <c r="E363">
        <v>695</v>
      </c>
      <c r="F363" t="s">
        <v>9</v>
      </c>
      <c r="G363" t="s">
        <v>13</v>
      </c>
      <c r="H363" s="1">
        <v>0</v>
      </c>
      <c r="I363" s="1">
        <v>0</v>
      </c>
      <c r="J363" s="2">
        <v>0</v>
      </c>
      <c r="K363" s="1">
        <v>0</v>
      </c>
      <c r="L363" s="1">
        <v>0</v>
      </c>
      <c r="M363" s="1">
        <v>0</v>
      </c>
      <c r="N36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4" spans="1:14" x14ac:dyDescent="0.3">
      <c r="A364">
        <v>2020</v>
      </c>
      <c r="B364" t="s">
        <v>53</v>
      </c>
      <c r="C364">
        <v>27</v>
      </c>
      <c r="D364" t="s">
        <v>315</v>
      </c>
      <c r="E364">
        <v>478</v>
      </c>
      <c r="F364" t="s">
        <v>25</v>
      </c>
      <c r="G364" t="s">
        <v>3</v>
      </c>
      <c r="H364" s="1">
        <v>0</v>
      </c>
      <c r="I364" s="1">
        <v>0</v>
      </c>
      <c r="J364" s="2">
        <v>0</v>
      </c>
      <c r="K364" s="1">
        <v>0</v>
      </c>
      <c r="L364" s="1">
        <v>0</v>
      </c>
      <c r="M364" s="1">
        <v>0</v>
      </c>
      <c r="N36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5" spans="1:14" x14ac:dyDescent="0.3">
      <c r="A365">
        <v>2020</v>
      </c>
      <c r="B365" t="s">
        <v>4</v>
      </c>
      <c r="C365">
        <v>10</v>
      </c>
      <c r="D365" t="s">
        <v>352</v>
      </c>
      <c r="E365">
        <v>220</v>
      </c>
      <c r="F365" t="s">
        <v>6</v>
      </c>
      <c r="G365" t="s">
        <v>3</v>
      </c>
      <c r="H365" s="1">
        <v>0</v>
      </c>
      <c r="I365" s="1">
        <v>0</v>
      </c>
      <c r="J365" s="2">
        <v>0</v>
      </c>
      <c r="K365" s="1">
        <v>0</v>
      </c>
      <c r="L365" s="1">
        <v>0</v>
      </c>
      <c r="M365" s="1">
        <v>0</v>
      </c>
      <c r="N36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6" spans="1:14" x14ac:dyDescent="0.3">
      <c r="A366">
        <v>2020</v>
      </c>
      <c r="B366" t="s">
        <v>21</v>
      </c>
      <c r="C366">
        <v>19</v>
      </c>
      <c r="D366" t="s">
        <v>354</v>
      </c>
      <c r="E366">
        <v>313</v>
      </c>
      <c r="F366" t="s">
        <v>6</v>
      </c>
      <c r="G366" t="s">
        <v>27</v>
      </c>
      <c r="H366" s="1">
        <v>0</v>
      </c>
      <c r="I366" s="1">
        <v>0</v>
      </c>
      <c r="J366" s="2">
        <v>0</v>
      </c>
      <c r="K366" s="1">
        <v>0</v>
      </c>
      <c r="L366" s="1">
        <v>0</v>
      </c>
      <c r="M366" s="1">
        <v>0</v>
      </c>
      <c r="N36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7" spans="1:14" x14ac:dyDescent="0.3">
      <c r="A367">
        <v>2020</v>
      </c>
      <c r="B367" t="s">
        <v>196</v>
      </c>
      <c r="C367">
        <v>16</v>
      </c>
      <c r="D367" t="s">
        <v>360</v>
      </c>
      <c r="E367">
        <v>272</v>
      </c>
      <c r="F367" t="s">
        <v>12</v>
      </c>
      <c r="G367" t="s">
        <v>13</v>
      </c>
      <c r="H367" s="1">
        <v>49</v>
      </c>
      <c r="I367" s="1">
        <v>462</v>
      </c>
      <c r="J367" s="2">
        <v>3092</v>
      </c>
      <c r="K367" s="1">
        <v>9.4285714285714288</v>
      </c>
      <c r="L367" s="1">
        <v>6.6926406926406923</v>
      </c>
      <c r="M367" s="1">
        <v>63.102040816326529</v>
      </c>
      <c r="N36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68" spans="1:14" x14ac:dyDescent="0.3">
      <c r="A368">
        <v>2020</v>
      </c>
      <c r="B368" t="s">
        <v>32</v>
      </c>
      <c r="C368">
        <v>14</v>
      </c>
      <c r="D368" t="s">
        <v>33</v>
      </c>
      <c r="E368">
        <v>259</v>
      </c>
      <c r="F368" t="s">
        <v>12</v>
      </c>
      <c r="G368" t="s">
        <v>13</v>
      </c>
      <c r="H368" s="1">
        <v>5</v>
      </c>
      <c r="I368" s="1">
        <v>92</v>
      </c>
      <c r="J368" s="2">
        <v>47</v>
      </c>
      <c r="K368" s="1">
        <v>18.399999999999999</v>
      </c>
      <c r="L368" s="1">
        <v>0.51086956521739135</v>
      </c>
      <c r="M368" s="1">
        <v>9.4</v>
      </c>
      <c r="N36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69" spans="1:14" x14ac:dyDescent="0.3">
      <c r="A369">
        <v>2020</v>
      </c>
      <c r="B369" t="s">
        <v>21</v>
      </c>
      <c r="C369">
        <v>19</v>
      </c>
      <c r="D369" t="s">
        <v>329</v>
      </c>
      <c r="E369">
        <v>316</v>
      </c>
      <c r="F369" t="s">
        <v>6</v>
      </c>
      <c r="G369" t="s">
        <v>13</v>
      </c>
      <c r="H369" s="1">
        <v>175</v>
      </c>
      <c r="I369" s="1">
        <v>3878</v>
      </c>
      <c r="J369" s="2">
        <v>4693</v>
      </c>
      <c r="K369" s="1">
        <v>22.16</v>
      </c>
      <c r="L369" s="1">
        <v>1.2101598762248582</v>
      </c>
      <c r="M369" s="1">
        <v>26.817142857142859</v>
      </c>
      <c r="N36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70" spans="1:14" x14ac:dyDescent="0.3">
      <c r="A370">
        <v>2020</v>
      </c>
      <c r="B370" t="s">
        <v>4</v>
      </c>
      <c r="C370">
        <v>10</v>
      </c>
      <c r="D370" t="s">
        <v>206</v>
      </c>
      <c r="E370">
        <v>211</v>
      </c>
      <c r="F370" t="s">
        <v>6</v>
      </c>
      <c r="G370" t="s">
        <v>27</v>
      </c>
      <c r="H370" s="1">
        <v>47</v>
      </c>
      <c r="I370" s="1">
        <v>929</v>
      </c>
      <c r="J370" s="2">
        <v>2945</v>
      </c>
      <c r="K370" s="1">
        <v>19.76595744680851</v>
      </c>
      <c r="L370" s="1">
        <v>3.1700753498385361</v>
      </c>
      <c r="M370" s="1">
        <v>62.659574468085104</v>
      </c>
      <c r="N37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71" spans="1:14" x14ac:dyDescent="0.3">
      <c r="A371">
        <v>2020</v>
      </c>
      <c r="B371" t="s">
        <v>10</v>
      </c>
      <c r="C371">
        <v>18</v>
      </c>
      <c r="D371" t="s">
        <v>369</v>
      </c>
      <c r="E371">
        <v>282</v>
      </c>
      <c r="F371" t="s">
        <v>12</v>
      </c>
      <c r="G371" t="s">
        <v>13</v>
      </c>
      <c r="H371" s="1">
        <v>0</v>
      </c>
      <c r="I371" s="1">
        <v>0</v>
      </c>
      <c r="J371" s="2">
        <v>0</v>
      </c>
      <c r="K371" s="1">
        <v>0</v>
      </c>
      <c r="L371" s="1">
        <v>0</v>
      </c>
      <c r="M371" s="1">
        <v>0</v>
      </c>
      <c r="N37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2" spans="1:14" x14ac:dyDescent="0.3">
      <c r="A372">
        <v>2020</v>
      </c>
      <c r="B372" t="s">
        <v>38</v>
      </c>
      <c r="C372">
        <v>23</v>
      </c>
      <c r="D372" t="s">
        <v>371</v>
      </c>
      <c r="E372">
        <v>435</v>
      </c>
      <c r="F372" t="s">
        <v>2</v>
      </c>
      <c r="G372" t="s">
        <v>13</v>
      </c>
      <c r="H372" s="1">
        <v>0</v>
      </c>
      <c r="I372" s="1">
        <v>0</v>
      </c>
      <c r="J372" s="2">
        <v>0</v>
      </c>
      <c r="K372" s="1">
        <v>0</v>
      </c>
      <c r="L372" s="1">
        <v>0</v>
      </c>
      <c r="M372" s="1">
        <v>0</v>
      </c>
      <c r="N37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3" spans="1:14" x14ac:dyDescent="0.3">
      <c r="A373">
        <v>2020</v>
      </c>
      <c r="B373" t="s">
        <v>136</v>
      </c>
      <c r="C373">
        <v>15</v>
      </c>
      <c r="D373" t="s">
        <v>137</v>
      </c>
      <c r="E373">
        <v>264</v>
      </c>
      <c r="F373" t="s">
        <v>12</v>
      </c>
      <c r="G373" t="s">
        <v>13</v>
      </c>
      <c r="H373" s="1">
        <v>0</v>
      </c>
      <c r="I373" s="1">
        <v>0</v>
      </c>
      <c r="J373" s="2">
        <v>0</v>
      </c>
      <c r="K373" s="1">
        <v>0</v>
      </c>
      <c r="L373" s="1">
        <v>0</v>
      </c>
      <c r="M373" s="1">
        <v>0</v>
      </c>
      <c r="N37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4" spans="1:14" x14ac:dyDescent="0.3">
      <c r="A374">
        <v>2020</v>
      </c>
      <c r="B374" t="s">
        <v>10</v>
      </c>
      <c r="C374">
        <v>18</v>
      </c>
      <c r="D374" t="s">
        <v>376</v>
      </c>
      <c r="E374">
        <v>616</v>
      </c>
      <c r="F374" t="s">
        <v>12</v>
      </c>
      <c r="G374" t="s">
        <v>13</v>
      </c>
      <c r="H374" s="1">
        <v>0</v>
      </c>
      <c r="I374" s="1">
        <v>0</v>
      </c>
      <c r="J374" s="2">
        <v>0</v>
      </c>
      <c r="K374" s="1">
        <v>0</v>
      </c>
      <c r="L374" s="1">
        <v>0</v>
      </c>
      <c r="M374" s="1">
        <v>0</v>
      </c>
      <c r="N37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5" spans="1:14" x14ac:dyDescent="0.3">
      <c r="A375">
        <v>2020</v>
      </c>
      <c r="B375" t="s">
        <v>30</v>
      </c>
      <c r="C375">
        <v>32</v>
      </c>
      <c r="D375" t="s">
        <v>381</v>
      </c>
      <c r="E375">
        <v>561</v>
      </c>
      <c r="F375" t="s">
        <v>9</v>
      </c>
      <c r="G375" t="s">
        <v>13</v>
      </c>
      <c r="H375" s="1">
        <v>0</v>
      </c>
      <c r="I375" s="1">
        <v>0</v>
      </c>
      <c r="J375" s="2">
        <v>0</v>
      </c>
      <c r="K375" s="1">
        <v>0</v>
      </c>
      <c r="L375" s="1">
        <v>0</v>
      </c>
      <c r="M375" s="1">
        <v>0</v>
      </c>
      <c r="N37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6" spans="1:14" x14ac:dyDescent="0.3">
      <c r="A376">
        <v>2020</v>
      </c>
      <c r="B376" t="s">
        <v>77</v>
      </c>
      <c r="C376">
        <v>8</v>
      </c>
      <c r="D376" t="s">
        <v>263</v>
      </c>
      <c r="E376">
        <v>102</v>
      </c>
      <c r="F376" t="s">
        <v>20</v>
      </c>
      <c r="G376" t="s">
        <v>17</v>
      </c>
      <c r="H376" s="1">
        <v>787</v>
      </c>
      <c r="I376" s="1">
        <v>8363</v>
      </c>
      <c r="J376" s="2">
        <v>107354</v>
      </c>
      <c r="K376" s="1">
        <v>10.626429479034307</v>
      </c>
      <c r="L376" s="1">
        <v>12.836781059428434</v>
      </c>
      <c r="M376" s="1">
        <v>136.40914866581957</v>
      </c>
      <c r="N37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377" spans="1:14" x14ac:dyDescent="0.3">
      <c r="A377">
        <v>2020</v>
      </c>
      <c r="B377" t="s">
        <v>4</v>
      </c>
      <c r="C377">
        <v>10</v>
      </c>
      <c r="D377" t="s">
        <v>318</v>
      </c>
      <c r="E377">
        <v>207</v>
      </c>
      <c r="F377" t="s">
        <v>6</v>
      </c>
      <c r="G377" t="s">
        <v>3</v>
      </c>
      <c r="H377" s="1">
        <v>0</v>
      </c>
      <c r="I377" s="1">
        <v>0</v>
      </c>
      <c r="J377" s="2">
        <v>0</v>
      </c>
      <c r="K377" s="1">
        <v>0</v>
      </c>
      <c r="L377" s="1">
        <v>0</v>
      </c>
      <c r="M377" s="1">
        <v>0</v>
      </c>
      <c r="N37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78" spans="1:14" x14ac:dyDescent="0.3">
      <c r="A378">
        <v>2020</v>
      </c>
      <c r="B378" t="s">
        <v>38</v>
      </c>
      <c r="C378">
        <v>23</v>
      </c>
      <c r="D378" t="s">
        <v>378</v>
      </c>
      <c r="E378">
        <v>413</v>
      </c>
      <c r="F378" t="s">
        <v>2</v>
      </c>
      <c r="G378" t="s">
        <v>3</v>
      </c>
      <c r="H378" s="1">
        <v>7</v>
      </c>
      <c r="I378" s="1">
        <v>175</v>
      </c>
      <c r="J378" s="2">
        <v>380</v>
      </c>
      <c r="K378" s="1">
        <v>25</v>
      </c>
      <c r="L378" s="1">
        <v>2.1714285714285713</v>
      </c>
      <c r="M378" s="1">
        <v>54.285714285714285</v>
      </c>
      <c r="N37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79" spans="1:14" x14ac:dyDescent="0.3">
      <c r="A379">
        <v>2020</v>
      </c>
      <c r="B379" t="s">
        <v>65</v>
      </c>
      <c r="C379">
        <v>22</v>
      </c>
      <c r="D379" t="s">
        <v>176</v>
      </c>
      <c r="E379">
        <v>647</v>
      </c>
      <c r="F379" t="s">
        <v>2</v>
      </c>
      <c r="G379" t="s">
        <v>13</v>
      </c>
      <c r="H379" s="1">
        <v>18</v>
      </c>
      <c r="I379" s="1">
        <v>457</v>
      </c>
      <c r="J379" s="2">
        <v>451</v>
      </c>
      <c r="K379" s="1">
        <v>25.388888888888889</v>
      </c>
      <c r="L379" s="1">
        <v>0.98687089715536103</v>
      </c>
      <c r="M379" s="1">
        <v>25.055555555555557</v>
      </c>
      <c r="N37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0" spans="1:14" x14ac:dyDescent="0.3">
      <c r="A380">
        <v>2020</v>
      </c>
      <c r="B380" t="s">
        <v>4</v>
      </c>
      <c r="C380">
        <v>10</v>
      </c>
      <c r="D380" t="s">
        <v>50</v>
      </c>
      <c r="E380">
        <v>191</v>
      </c>
      <c r="F380" t="s">
        <v>6</v>
      </c>
      <c r="G380" t="s">
        <v>13</v>
      </c>
      <c r="H380" s="1">
        <v>0</v>
      </c>
      <c r="I380" s="1">
        <v>0</v>
      </c>
      <c r="J380" s="2">
        <v>0</v>
      </c>
      <c r="K380" s="1">
        <v>0</v>
      </c>
      <c r="L380" s="1">
        <v>0</v>
      </c>
      <c r="M380" s="1">
        <v>0</v>
      </c>
      <c r="N38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1" spans="1:14" x14ac:dyDescent="0.3">
      <c r="A381">
        <v>2020</v>
      </c>
      <c r="B381" t="s">
        <v>77</v>
      </c>
      <c r="C381">
        <v>8</v>
      </c>
      <c r="D381" t="s">
        <v>121</v>
      </c>
      <c r="E381">
        <v>111</v>
      </c>
      <c r="F381" t="s">
        <v>20</v>
      </c>
      <c r="G381" t="s">
        <v>13</v>
      </c>
      <c r="H381" s="1">
        <v>0</v>
      </c>
      <c r="I381" s="1">
        <v>0</v>
      </c>
      <c r="J381" s="2">
        <v>0</v>
      </c>
      <c r="K381" s="1">
        <v>0</v>
      </c>
      <c r="L381" s="1">
        <v>0</v>
      </c>
      <c r="M381" s="1">
        <v>0</v>
      </c>
      <c r="N38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2" spans="1:14" x14ac:dyDescent="0.3">
      <c r="A382">
        <v>2020</v>
      </c>
      <c r="B382" t="s">
        <v>53</v>
      </c>
      <c r="C382">
        <v>27</v>
      </c>
      <c r="D382" t="s">
        <v>387</v>
      </c>
      <c r="E382">
        <v>491</v>
      </c>
      <c r="F382" t="s">
        <v>25</v>
      </c>
      <c r="G382" t="s">
        <v>3</v>
      </c>
      <c r="H382" s="1">
        <v>0</v>
      </c>
      <c r="I382" s="1">
        <v>0</v>
      </c>
      <c r="J382" s="2">
        <v>0</v>
      </c>
      <c r="K382" s="1">
        <v>0</v>
      </c>
      <c r="L382" s="1">
        <v>0</v>
      </c>
      <c r="M382" s="1">
        <v>0</v>
      </c>
      <c r="N38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3" spans="1:14" x14ac:dyDescent="0.3">
      <c r="A383">
        <v>2020</v>
      </c>
      <c r="B383" t="s">
        <v>28</v>
      </c>
      <c r="C383">
        <v>36</v>
      </c>
      <c r="D383" t="s">
        <v>388</v>
      </c>
      <c r="E383">
        <v>688</v>
      </c>
      <c r="F383" t="s">
        <v>9</v>
      </c>
      <c r="G383" t="s">
        <v>3</v>
      </c>
      <c r="H383" s="1">
        <v>34</v>
      </c>
      <c r="I383" s="1">
        <v>734</v>
      </c>
      <c r="J383" s="2">
        <v>1131</v>
      </c>
      <c r="K383" s="1">
        <v>21.588235294117649</v>
      </c>
      <c r="L383" s="1">
        <v>1.5408719346049047</v>
      </c>
      <c r="M383" s="1">
        <v>33.264705882352942</v>
      </c>
      <c r="N38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84" spans="1:14" x14ac:dyDescent="0.3">
      <c r="A384">
        <v>2020</v>
      </c>
      <c r="B384" t="s">
        <v>0</v>
      </c>
      <c r="C384">
        <v>9</v>
      </c>
      <c r="D384" t="s">
        <v>264</v>
      </c>
      <c r="E384">
        <v>152</v>
      </c>
      <c r="F384" t="s">
        <v>2</v>
      </c>
      <c r="G384" t="s">
        <v>27</v>
      </c>
      <c r="H384" s="1">
        <v>0</v>
      </c>
      <c r="I384" s="1">
        <v>0</v>
      </c>
      <c r="J384" s="2">
        <v>0</v>
      </c>
      <c r="K384" s="1">
        <v>0</v>
      </c>
      <c r="L384" s="1">
        <v>0</v>
      </c>
      <c r="M384" s="1">
        <v>0</v>
      </c>
      <c r="N38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5" spans="1:14" x14ac:dyDescent="0.3">
      <c r="A385">
        <v>2019</v>
      </c>
      <c r="B385" t="s">
        <v>0</v>
      </c>
      <c r="C385">
        <v>9</v>
      </c>
      <c r="D385" t="s">
        <v>1</v>
      </c>
      <c r="E385">
        <v>128</v>
      </c>
      <c r="F385" t="s">
        <v>2</v>
      </c>
      <c r="G385" t="s">
        <v>3</v>
      </c>
      <c r="H385" s="1">
        <v>28</v>
      </c>
      <c r="I385" s="1">
        <v>610</v>
      </c>
      <c r="J385" s="2">
        <v>1123</v>
      </c>
      <c r="K385" s="1">
        <v>21.785714285714285</v>
      </c>
      <c r="L385" s="1">
        <v>1.840983606557377</v>
      </c>
      <c r="M385" s="1">
        <v>40.107142857142854</v>
      </c>
      <c r="N38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86" spans="1:14" x14ac:dyDescent="0.3">
      <c r="A386">
        <v>2019</v>
      </c>
      <c r="B386" t="s">
        <v>10</v>
      </c>
      <c r="C386">
        <v>18</v>
      </c>
      <c r="D386" t="s">
        <v>11</v>
      </c>
      <c r="E386">
        <v>300</v>
      </c>
      <c r="F386" t="s">
        <v>12</v>
      </c>
      <c r="G386" t="s">
        <v>13</v>
      </c>
      <c r="H386" s="1">
        <v>33</v>
      </c>
      <c r="I386" s="1">
        <v>568</v>
      </c>
      <c r="J386" s="2">
        <v>1245</v>
      </c>
      <c r="K386" s="1">
        <v>17.212121212121211</v>
      </c>
      <c r="L386" s="1">
        <v>2.191901408450704</v>
      </c>
      <c r="M386" s="1">
        <v>37.727272727272727</v>
      </c>
      <c r="N38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87" spans="1:14" x14ac:dyDescent="0.3">
      <c r="A387">
        <v>2019</v>
      </c>
      <c r="B387" t="s">
        <v>23</v>
      </c>
      <c r="C387">
        <v>24</v>
      </c>
      <c r="D387" t="s">
        <v>24</v>
      </c>
      <c r="E387">
        <v>454</v>
      </c>
      <c r="F387" t="s">
        <v>25</v>
      </c>
      <c r="G387" t="s">
        <v>13</v>
      </c>
      <c r="H387" s="1">
        <v>68</v>
      </c>
      <c r="I387" s="1">
        <v>1059</v>
      </c>
      <c r="J387" s="2">
        <v>1508</v>
      </c>
      <c r="K387" s="1">
        <v>15.573529411764707</v>
      </c>
      <c r="L387" s="1">
        <v>1.4239848914069877</v>
      </c>
      <c r="M387" s="1">
        <v>22.176470588235293</v>
      </c>
      <c r="N38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88" spans="1:14" x14ac:dyDescent="0.3">
      <c r="A388">
        <v>2019</v>
      </c>
      <c r="B388" t="s">
        <v>23</v>
      </c>
      <c r="C388">
        <v>24</v>
      </c>
      <c r="D388" t="s">
        <v>35</v>
      </c>
      <c r="E388">
        <v>438</v>
      </c>
      <c r="F388" t="s">
        <v>25</v>
      </c>
      <c r="G388" t="s">
        <v>3</v>
      </c>
      <c r="H388" s="1">
        <v>0</v>
      </c>
      <c r="I388" s="1">
        <v>0</v>
      </c>
      <c r="J388" s="2">
        <v>0</v>
      </c>
      <c r="K388" s="1">
        <v>0</v>
      </c>
      <c r="L388" s="1">
        <v>0</v>
      </c>
      <c r="M388" s="1">
        <v>0</v>
      </c>
      <c r="N38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89" spans="1:14" x14ac:dyDescent="0.3">
      <c r="A389">
        <v>2019</v>
      </c>
      <c r="B389" t="s">
        <v>44</v>
      </c>
      <c r="C389">
        <v>3</v>
      </c>
      <c r="D389" t="s">
        <v>45</v>
      </c>
      <c r="E389">
        <v>609</v>
      </c>
      <c r="F389" t="s">
        <v>20</v>
      </c>
      <c r="G389" t="s">
        <v>13</v>
      </c>
      <c r="H389" s="1">
        <v>90</v>
      </c>
      <c r="I389" s="1">
        <v>793</v>
      </c>
      <c r="J389" s="2">
        <v>1934</v>
      </c>
      <c r="K389" s="1">
        <v>8.8111111111111118</v>
      </c>
      <c r="L389" s="1">
        <v>2.4388398486759142</v>
      </c>
      <c r="M389" s="1">
        <v>21.488888888888887</v>
      </c>
      <c r="N38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90" spans="1:14" x14ac:dyDescent="0.3">
      <c r="A390">
        <v>2019</v>
      </c>
      <c r="B390" t="s">
        <v>4</v>
      </c>
      <c r="C390">
        <v>10</v>
      </c>
      <c r="D390" t="s">
        <v>50</v>
      </c>
      <c r="E390">
        <v>191</v>
      </c>
      <c r="F390" t="s">
        <v>6</v>
      </c>
      <c r="G390" t="s">
        <v>3</v>
      </c>
      <c r="H390" s="1">
        <v>80</v>
      </c>
      <c r="I390" s="1">
        <v>1674</v>
      </c>
      <c r="J390" s="2">
        <v>3299</v>
      </c>
      <c r="K390" s="1">
        <v>20.925000000000001</v>
      </c>
      <c r="L390" s="1">
        <v>1.9707287933094384</v>
      </c>
      <c r="M390" s="1">
        <v>41.237499999999997</v>
      </c>
      <c r="N39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91" spans="1:14" x14ac:dyDescent="0.3">
      <c r="A391">
        <v>2019</v>
      </c>
      <c r="B391" t="s">
        <v>18</v>
      </c>
      <c r="C391">
        <v>7</v>
      </c>
      <c r="D391" t="s">
        <v>52</v>
      </c>
      <c r="E391">
        <v>77</v>
      </c>
      <c r="F391" t="s">
        <v>20</v>
      </c>
      <c r="G391" t="s">
        <v>17</v>
      </c>
      <c r="H391" s="1">
        <v>0</v>
      </c>
      <c r="I391" s="1">
        <v>0</v>
      </c>
      <c r="J391" s="2">
        <v>0</v>
      </c>
      <c r="K391" s="1">
        <v>0</v>
      </c>
      <c r="L391" s="1">
        <v>0</v>
      </c>
      <c r="M391" s="1">
        <v>0</v>
      </c>
      <c r="N39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92" spans="1:14" x14ac:dyDescent="0.3">
      <c r="A392">
        <v>2019</v>
      </c>
      <c r="B392" t="s">
        <v>28</v>
      </c>
      <c r="C392">
        <v>36</v>
      </c>
      <c r="D392" t="s">
        <v>55</v>
      </c>
      <c r="E392">
        <v>685</v>
      </c>
      <c r="F392" t="s">
        <v>9</v>
      </c>
      <c r="G392" t="s">
        <v>3</v>
      </c>
      <c r="H392" s="1">
        <v>0</v>
      </c>
      <c r="I392" s="1">
        <v>0</v>
      </c>
      <c r="J392" s="2">
        <v>0</v>
      </c>
      <c r="K392" s="1">
        <v>0</v>
      </c>
      <c r="L392" s="1">
        <v>0</v>
      </c>
      <c r="M392" s="1">
        <v>0</v>
      </c>
      <c r="N39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93" spans="1:14" x14ac:dyDescent="0.3">
      <c r="A393">
        <v>2019</v>
      </c>
      <c r="B393" t="s">
        <v>60</v>
      </c>
      <c r="C393">
        <v>6</v>
      </c>
      <c r="D393" t="s">
        <v>61</v>
      </c>
      <c r="E393">
        <v>68</v>
      </c>
      <c r="F393" t="s">
        <v>20</v>
      </c>
      <c r="G393" t="s">
        <v>13</v>
      </c>
      <c r="H393" s="1">
        <v>0</v>
      </c>
      <c r="I393" s="1">
        <v>0</v>
      </c>
      <c r="J393" s="2">
        <v>0</v>
      </c>
      <c r="K393" s="1">
        <v>0</v>
      </c>
      <c r="L393" s="1">
        <v>0</v>
      </c>
      <c r="M393" s="1">
        <v>0</v>
      </c>
      <c r="N39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94" spans="1:14" x14ac:dyDescent="0.3">
      <c r="A394">
        <v>2019</v>
      </c>
      <c r="B394" t="s">
        <v>0</v>
      </c>
      <c r="C394">
        <v>9</v>
      </c>
      <c r="D394" t="s">
        <v>62</v>
      </c>
      <c r="E394">
        <v>118</v>
      </c>
      <c r="F394" t="s">
        <v>2</v>
      </c>
      <c r="G394" t="s">
        <v>3</v>
      </c>
      <c r="H394" s="1">
        <v>109</v>
      </c>
      <c r="I394" s="1">
        <v>1830</v>
      </c>
      <c r="J394" s="2">
        <v>3528</v>
      </c>
      <c r="K394" s="1">
        <v>16.788990825688074</v>
      </c>
      <c r="L394" s="1">
        <v>1.9278688524590164</v>
      </c>
      <c r="M394" s="1">
        <v>32.366972477064223</v>
      </c>
      <c r="N39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95" spans="1:14" x14ac:dyDescent="0.3">
      <c r="A395">
        <v>2019</v>
      </c>
      <c r="B395" t="s">
        <v>0</v>
      </c>
      <c r="C395">
        <v>9</v>
      </c>
      <c r="D395" t="s">
        <v>68</v>
      </c>
      <c r="E395">
        <v>168</v>
      </c>
      <c r="F395" t="s">
        <v>2</v>
      </c>
      <c r="G395" t="s">
        <v>13</v>
      </c>
      <c r="H395" s="1">
        <v>91</v>
      </c>
      <c r="I395" s="1">
        <v>1752</v>
      </c>
      <c r="J395" s="2">
        <v>3861</v>
      </c>
      <c r="K395" s="1">
        <v>19.252747252747252</v>
      </c>
      <c r="L395" s="1">
        <v>2.2037671232876712</v>
      </c>
      <c r="M395" s="1">
        <v>42.428571428571431</v>
      </c>
      <c r="N39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96" spans="1:14" x14ac:dyDescent="0.3">
      <c r="A396">
        <v>2019</v>
      </c>
      <c r="B396" t="s">
        <v>65</v>
      </c>
      <c r="C396">
        <v>22</v>
      </c>
      <c r="D396" t="s">
        <v>69</v>
      </c>
      <c r="E396">
        <v>375</v>
      </c>
      <c r="F396" t="s">
        <v>2</v>
      </c>
      <c r="G396" t="s">
        <v>13</v>
      </c>
      <c r="H396" s="1">
        <v>0</v>
      </c>
      <c r="I396" s="1">
        <v>0</v>
      </c>
      <c r="J396" s="2">
        <v>0</v>
      </c>
      <c r="K396" s="1">
        <v>0</v>
      </c>
      <c r="L396" s="1">
        <v>0</v>
      </c>
      <c r="M396" s="1">
        <v>0</v>
      </c>
      <c r="N39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97" spans="1:14" x14ac:dyDescent="0.3">
      <c r="A397">
        <v>2019</v>
      </c>
      <c r="B397" t="s">
        <v>41</v>
      </c>
      <c r="C397">
        <v>29</v>
      </c>
      <c r="D397" t="s">
        <v>91</v>
      </c>
      <c r="E397">
        <v>537</v>
      </c>
      <c r="F397" t="s">
        <v>9</v>
      </c>
      <c r="G397" t="s">
        <v>3</v>
      </c>
      <c r="H397" s="1">
        <v>0</v>
      </c>
      <c r="I397" s="1">
        <v>0</v>
      </c>
      <c r="J397" s="2">
        <v>0</v>
      </c>
      <c r="K397" s="1">
        <v>0</v>
      </c>
      <c r="L397" s="1">
        <v>0</v>
      </c>
      <c r="M397" s="1">
        <v>0</v>
      </c>
      <c r="N39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398" spans="1:14" x14ac:dyDescent="0.3">
      <c r="A398">
        <v>2019</v>
      </c>
      <c r="B398" t="s">
        <v>53</v>
      </c>
      <c r="C398">
        <v>27</v>
      </c>
      <c r="D398" t="s">
        <v>94</v>
      </c>
      <c r="E398">
        <v>467</v>
      </c>
      <c r="F398" t="s">
        <v>25</v>
      </c>
      <c r="G398" t="s">
        <v>3</v>
      </c>
      <c r="H398" s="1">
        <v>48</v>
      </c>
      <c r="I398" s="1">
        <v>739</v>
      </c>
      <c r="J398" s="2">
        <v>1609</v>
      </c>
      <c r="K398" s="1">
        <v>15.395833333333334</v>
      </c>
      <c r="L398" s="1">
        <v>2.1772665764546684</v>
      </c>
      <c r="M398" s="1">
        <v>33.520833333333336</v>
      </c>
      <c r="N39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399" spans="1:14" x14ac:dyDescent="0.3">
      <c r="A399">
        <v>2019</v>
      </c>
      <c r="B399" t="s">
        <v>21</v>
      </c>
      <c r="C399">
        <v>19</v>
      </c>
      <c r="D399" t="s">
        <v>22</v>
      </c>
      <c r="E399">
        <v>319</v>
      </c>
      <c r="F399" t="s">
        <v>6</v>
      </c>
      <c r="G399" t="s">
        <v>3</v>
      </c>
      <c r="H399" s="1">
        <v>172</v>
      </c>
      <c r="I399" s="1">
        <v>4521</v>
      </c>
      <c r="J399" s="2">
        <v>8051</v>
      </c>
      <c r="K399" s="1">
        <v>26.284883720930232</v>
      </c>
      <c r="L399" s="1">
        <v>1.780800707808007</v>
      </c>
      <c r="M399" s="1">
        <v>46.808139534883722</v>
      </c>
      <c r="N39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00" spans="1:14" x14ac:dyDescent="0.3">
      <c r="A400">
        <v>2019</v>
      </c>
      <c r="B400" t="s">
        <v>65</v>
      </c>
      <c r="C400">
        <v>22</v>
      </c>
      <c r="D400" t="s">
        <v>99</v>
      </c>
      <c r="E400">
        <v>644</v>
      </c>
      <c r="F400" t="s">
        <v>2</v>
      </c>
      <c r="G400" t="s">
        <v>3</v>
      </c>
      <c r="H400" s="1">
        <v>0</v>
      </c>
      <c r="I400" s="1">
        <v>0</v>
      </c>
      <c r="J400" s="2">
        <v>0</v>
      </c>
      <c r="K400" s="1">
        <v>0</v>
      </c>
      <c r="L400" s="1">
        <v>0</v>
      </c>
      <c r="M400" s="1">
        <v>0</v>
      </c>
      <c r="N40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01" spans="1:14" x14ac:dyDescent="0.3">
      <c r="A401">
        <v>2019</v>
      </c>
      <c r="B401" t="s">
        <v>53</v>
      </c>
      <c r="C401">
        <v>27</v>
      </c>
      <c r="D401" t="s">
        <v>67</v>
      </c>
      <c r="E401">
        <v>475</v>
      </c>
      <c r="F401" t="s">
        <v>25</v>
      </c>
      <c r="G401" t="s">
        <v>3</v>
      </c>
      <c r="H401" s="1">
        <v>32</v>
      </c>
      <c r="I401" s="1">
        <v>480</v>
      </c>
      <c r="J401" s="2">
        <v>2500</v>
      </c>
      <c r="K401" s="1">
        <v>15</v>
      </c>
      <c r="L401" s="1">
        <v>5.208333333333333</v>
      </c>
      <c r="M401" s="1">
        <v>78.125</v>
      </c>
      <c r="N40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02" spans="1:14" x14ac:dyDescent="0.3">
      <c r="A402">
        <v>2019</v>
      </c>
      <c r="B402" t="s">
        <v>87</v>
      </c>
      <c r="C402">
        <v>2</v>
      </c>
      <c r="D402" t="s">
        <v>109</v>
      </c>
      <c r="E402">
        <v>16</v>
      </c>
      <c r="F402" t="s">
        <v>20</v>
      </c>
      <c r="G402" t="s">
        <v>13</v>
      </c>
      <c r="H402" s="1">
        <v>71</v>
      </c>
      <c r="I402" s="1">
        <v>574</v>
      </c>
      <c r="J402" s="2">
        <v>2644</v>
      </c>
      <c r="K402" s="1">
        <v>8.0845070422535219</v>
      </c>
      <c r="L402" s="1">
        <v>4.6062717770034842</v>
      </c>
      <c r="M402" s="1">
        <v>37.239436619718312</v>
      </c>
      <c r="N40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03" spans="1:14" x14ac:dyDescent="0.3">
      <c r="A403">
        <v>2019</v>
      </c>
      <c r="B403" t="s">
        <v>65</v>
      </c>
      <c r="C403">
        <v>22</v>
      </c>
      <c r="D403" t="s">
        <v>110</v>
      </c>
      <c r="E403">
        <v>377</v>
      </c>
      <c r="F403" t="s">
        <v>2</v>
      </c>
      <c r="G403" t="s">
        <v>13</v>
      </c>
      <c r="H403" s="1">
        <v>0</v>
      </c>
      <c r="I403" s="1">
        <v>0</v>
      </c>
      <c r="J403" s="2">
        <v>0</v>
      </c>
      <c r="K403" s="1">
        <v>0</v>
      </c>
      <c r="L403" s="1">
        <v>0</v>
      </c>
      <c r="M403" s="1">
        <v>0</v>
      </c>
      <c r="N40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04" spans="1:14" x14ac:dyDescent="0.3">
      <c r="A404">
        <v>2019</v>
      </c>
      <c r="B404" t="s">
        <v>28</v>
      </c>
      <c r="C404">
        <v>36</v>
      </c>
      <c r="D404" t="s">
        <v>113</v>
      </c>
      <c r="E404">
        <v>686</v>
      </c>
      <c r="F404" t="s">
        <v>9</v>
      </c>
      <c r="G404" t="s">
        <v>27</v>
      </c>
      <c r="H404" s="1">
        <v>166</v>
      </c>
      <c r="I404" s="1">
        <v>2366</v>
      </c>
      <c r="J404" s="2">
        <v>11491</v>
      </c>
      <c r="K404" s="1">
        <v>14.253012048192771</v>
      </c>
      <c r="L404" s="1">
        <v>4.8567202028740493</v>
      </c>
      <c r="M404" s="1">
        <v>69.222891566265062</v>
      </c>
      <c r="N40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05" spans="1:14" x14ac:dyDescent="0.3">
      <c r="A405">
        <v>2019</v>
      </c>
      <c r="B405" t="s">
        <v>79</v>
      </c>
      <c r="C405">
        <v>20</v>
      </c>
      <c r="D405" t="s">
        <v>115</v>
      </c>
      <c r="E405">
        <v>340</v>
      </c>
      <c r="F405" t="s">
        <v>6</v>
      </c>
      <c r="G405" t="s">
        <v>13</v>
      </c>
      <c r="H405" s="1">
        <v>0</v>
      </c>
      <c r="I405" s="1">
        <v>0</v>
      </c>
      <c r="J405" s="2">
        <v>0</v>
      </c>
      <c r="K405" s="1">
        <v>0</v>
      </c>
      <c r="L405" s="1">
        <v>0</v>
      </c>
      <c r="M405" s="1">
        <v>0</v>
      </c>
      <c r="N40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06" spans="1:14" x14ac:dyDescent="0.3">
      <c r="A406">
        <v>2019</v>
      </c>
      <c r="B406" t="s">
        <v>44</v>
      </c>
      <c r="C406">
        <v>3</v>
      </c>
      <c r="D406" t="s">
        <v>122</v>
      </c>
      <c r="E406">
        <v>27</v>
      </c>
      <c r="F406" t="s">
        <v>20</v>
      </c>
      <c r="G406" t="s">
        <v>17</v>
      </c>
      <c r="H406" s="1">
        <v>0</v>
      </c>
      <c r="I406" s="1">
        <v>0</v>
      </c>
      <c r="J406" s="2">
        <v>0</v>
      </c>
      <c r="K406" s="1">
        <v>0</v>
      </c>
      <c r="L406" s="1">
        <v>0</v>
      </c>
      <c r="M406" s="1">
        <v>0</v>
      </c>
      <c r="N40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07" spans="1:14" x14ac:dyDescent="0.3">
      <c r="A407">
        <v>2019</v>
      </c>
      <c r="B407" t="s">
        <v>38</v>
      </c>
      <c r="C407">
        <v>23</v>
      </c>
      <c r="D407" t="s">
        <v>125</v>
      </c>
      <c r="E407">
        <v>427</v>
      </c>
      <c r="F407" t="s">
        <v>2</v>
      </c>
      <c r="G407" t="s">
        <v>3</v>
      </c>
      <c r="H407" s="1">
        <v>0</v>
      </c>
      <c r="I407" s="1">
        <v>0</v>
      </c>
      <c r="J407" s="2">
        <v>0</v>
      </c>
      <c r="K407" s="1">
        <v>0</v>
      </c>
      <c r="L407" s="1">
        <v>0</v>
      </c>
      <c r="M407" s="1">
        <v>0</v>
      </c>
      <c r="N40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08" spans="1:14" x14ac:dyDescent="0.3">
      <c r="A408">
        <v>2019</v>
      </c>
      <c r="B408" t="s">
        <v>87</v>
      </c>
      <c r="C408">
        <v>2</v>
      </c>
      <c r="D408" t="s">
        <v>126</v>
      </c>
      <c r="E408">
        <v>18</v>
      </c>
      <c r="F408" t="s">
        <v>20</v>
      </c>
      <c r="G408" t="s">
        <v>13</v>
      </c>
      <c r="H408" s="1">
        <v>262</v>
      </c>
      <c r="I408" s="1">
        <v>2644</v>
      </c>
      <c r="J408" s="2">
        <v>16721</v>
      </c>
      <c r="K408" s="1">
        <v>10.091603053435115</v>
      </c>
      <c r="L408" s="1">
        <v>6.3241301059001511</v>
      </c>
      <c r="M408" s="1">
        <v>63.820610687022899</v>
      </c>
      <c r="N40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09" spans="1:14" x14ac:dyDescent="0.3">
      <c r="A409">
        <v>2019</v>
      </c>
      <c r="B409" t="s">
        <v>60</v>
      </c>
      <c r="C409">
        <v>6</v>
      </c>
      <c r="D409" t="s">
        <v>127</v>
      </c>
      <c r="E409">
        <v>75</v>
      </c>
      <c r="F409" t="s">
        <v>20</v>
      </c>
      <c r="G409" t="s">
        <v>3</v>
      </c>
      <c r="H409" s="1">
        <v>0</v>
      </c>
      <c r="I409" s="1">
        <v>0</v>
      </c>
      <c r="J409" s="2">
        <v>0</v>
      </c>
      <c r="K409" s="1">
        <v>0</v>
      </c>
      <c r="L409" s="1">
        <v>0</v>
      </c>
      <c r="M409" s="1">
        <v>0</v>
      </c>
      <c r="N40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0" spans="1:14" x14ac:dyDescent="0.3">
      <c r="A410">
        <v>2019</v>
      </c>
      <c r="B410" t="s">
        <v>32</v>
      </c>
      <c r="C410">
        <v>14</v>
      </c>
      <c r="D410" t="s">
        <v>33</v>
      </c>
      <c r="E410">
        <v>259</v>
      </c>
      <c r="F410" t="s">
        <v>12</v>
      </c>
      <c r="G410" t="s">
        <v>3</v>
      </c>
      <c r="H410" s="1">
        <v>0</v>
      </c>
      <c r="I410" s="1">
        <v>0</v>
      </c>
      <c r="J410" s="2">
        <v>0</v>
      </c>
      <c r="K410" s="1">
        <v>0</v>
      </c>
      <c r="L410" s="1">
        <v>0</v>
      </c>
      <c r="M410" s="1">
        <v>0</v>
      </c>
      <c r="N41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1" spans="1:14" x14ac:dyDescent="0.3">
      <c r="A411">
        <v>2019</v>
      </c>
      <c r="B411" t="s">
        <v>21</v>
      </c>
      <c r="C411">
        <v>19</v>
      </c>
      <c r="D411" t="s">
        <v>128</v>
      </c>
      <c r="E411">
        <v>664</v>
      </c>
      <c r="F411" t="s">
        <v>6</v>
      </c>
      <c r="G411" t="s">
        <v>13</v>
      </c>
      <c r="H411" s="1">
        <v>42</v>
      </c>
      <c r="I411" s="1">
        <v>1164</v>
      </c>
      <c r="J411" s="2">
        <v>1422</v>
      </c>
      <c r="K411" s="1">
        <v>27.714285714285715</v>
      </c>
      <c r="L411" s="1">
        <v>1.2216494845360826</v>
      </c>
      <c r="M411" s="1">
        <v>33.857142857142854</v>
      </c>
      <c r="N41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12" spans="1:14" x14ac:dyDescent="0.3">
      <c r="A412">
        <v>2019</v>
      </c>
      <c r="B412" t="s">
        <v>53</v>
      </c>
      <c r="C412">
        <v>27</v>
      </c>
      <c r="D412" t="s">
        <v>129</v>
      </c>
      <c r="E412">
        <v>473</v>
      </c>
      <c r="F412" t="s">
        <v>25</v>
      </c>
      <c r="G412" t="s">
        <v>3</v>
      </c>
      <c r="H412" s="1">
        <v>0</v>
      </c>
      <c r="I412" s="1">
        <v>0</v>
      </c>
      <c r="J412" s="2">
        <v>0</v>
      </c>
      <c r="K412" s="1">
        <v>0</v>
      </c>
      <c r="L412" s="1">
        <v>0</v>
      </c>
      <c r="M412" s="1">
        <v>0</v>
      </c>
      <c r="N41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3" spans="1:14" x14ac:dyDescent="0.3">
      <c r="A413">
        <v>2019</v>
      </c>
      <c r="B413" t="s">
        <v>23</v>
      </c>
      <c r="C413">
        <v>24</v>
      </c>
      <c r="D413" t="s">
        <v>131</v>
      </c>
      <c r="E413">
        <v>452</v>
      </c>
      <c r="F413" t="s">
        <v>25</v>
      </c>
      <c r="G413" t="s">
        <v>3</v>
      </c>
      <c r="H413" s="1">
        <v>0</v>
      </c>
      <c r="I413" s="1">
        <v>0</v>
      </c>
      <c r="J413" s="2">
        <v>0</v>
      </c>
      <c r="K413" s="1">
        <v>0</v>
      </c>
      <c r="L413" s="1">
        <v>0</v>
      </c>
      <c r="M413" s="1">
        <v>0</v>
      </c>
      <c r="N41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4" spans="1:14" x14ac:dyDescent="0.3">
      <c r="A414">
        <v>2019</v>
      </c>
      <c r="B414" t="s">
        <v>0</v>
      </c>
      <c r="C414">
        <v>9</v>
      </c>
      <c r="D414" t="s">
        <v>132</v>
      </c>
      <c r="E414">
        <v>660</v>
      </c>
      <c r="F414" t="s">
        <v>2</v>
      </c>
      <c r="G414" t="s">
        <v>27</v>
      </c>
      <c r="H414" s="1">
        <v>0</v>
      </c>
      <c r="I414" s="1">
        <v>0</v>
      </c>
      <c r="J414" s="2">
        <v>0</v>
      </c>
      <c r="K414" s="1">
        <v>0</v>
      </c>
      <c r="L414" s="1">
        <v>0</v>
      </c>
      <c r="M414" s="1">
        <v>0</v>
      </c>
      <c r="N41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15" spans="1:14" x14ac:dyDescent="0.3">
      <c r="A415">
        <v>2019</v>
      </c>
      <c r="B415" t="s">
        <v>38</v>
      </c>
      <c r="C415">
        <v>23</v>
      </c>
      <c r="D415" t="s">
        <v>144</v>
      </c>
      <c r="E415">
        <v>407</v>
      </c>
      <c r="F415" t="s">
        <v>2</v>
      </c>
      <c r="G415" t="s">
        <v>3</v>
      </c>
      <c r="H415" s="1">
        <v>34</v>
      </c>
      <c r="I415" s="1">
        <v>529</v>
      </c>
      <c r="J415" s="2">
        <v>1142</v>
      </c>
      <c r="K415" s="1">
        <v>15.558823529411764</v>
      </c>
      <c r="L415" s="1">
        <v>2.1587901701323253</v>
      </c>
      <c r="M415" s="1">
        <v>33.588235294117645</v>
      </c>
      <c r="N41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16" spans="1:14" x14ac:dyDescent="0.3">
      <c r="A416">
        <v>2019</v>
      </c>
      <c r="B416" t="s">
        <v>53</v>
      </c>
      <c r="C416">
        <v>27</v>
      </c>
      <c r="D416" t="s">
        <v>145</v>
      </c>
      <c r="E416">
        <v>466</v>
      </c>
      <c r="F416" t="s">
        <v>25</v>
      </c>
      <c r="G416" t="s">
        <v>3</v>
      </c>
      <c r="H416" s="1">
        <v>169</v>
      </c>
      <c r="I416" s="1">
        <v>2640</v>
      </c>
      <c r="J416" s="2">
        <v>10085</v>
      </c>
      <c r="K416" s="1">
        <v>15.621301775147929</v>
      </c>
      <c r="L416" s="1">
        <v>3.8200757575757578</v>
      </c>
      <c r="M416" s="1">
        <v>59.674556213017752</v>
      </c>
      <c r="N41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17" spans="1:14" x14ac:dyDescent="0.3">
      <c r="A417">
        <v>2019</v>
      </c>
      <c r="B417" t="s">
        <v>14</v>
      </c>
      <c r="C417">
        <v>21</v>
      </c>
      <c r="D417" t="s">
        <v>151</v>
      </c>
      <c r="E417">
        <v>353</v>
      </c>
      <c r="F417" t="s">
        <v>6</v>
      </c>
      <c r="G417" t="s">
        <v>13</v>
      </c>
      <c r="H417" s="1">
        <v>34</v>
      </c>
      <c r="I417" s="1">
        <v>505</v>
      </c>
      <c r="J417" s="2">
        <v>1030</v>
      </c>
      <c r="K417" s="1">
        <v>14.852941176470589</v>
      </c>
      <c r="L417" s="1">
        <v>2.0396039603960396</v>
      </c>
      <c r="M417" s="1">
        <v>30.294117647058822</v>
      </c>
      <c r="N41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18" spans="1:14" x14ac:dyDescent="0.3">
      <c r="A418">
        <v>2019</v>
      </c>
      <c r="B418" t="s">
        <v>4</v>
      </c>
      <c r="C418">
        <v>10</v>
      </c>
      <c r="D418" t="s">
        <v>143</v>
      </c>
      <c r="E418">
        <v>219</v>
      </c>
      <c r="F418" t="s">
        <v>6</v>
      </c>
      <c r="G418" t="s">
        <v>3</v>
      </c>
      <c r="H418" s="1">
        <v>28</v>
      </c>
      <c r="I418" s="1">
        <v>508</v>
      </c>
      <c r="J418" s="2">
        <v>1260</v>
      </c>
      <c r="K418" s="1">
        <v>18.142857142857142</v>
      </c>
      <c r="L418" s="1">
        <v>2.4803149606299213</v>
      </c>
      <c r="M418" s="1">
        <v>45</v>
      </c>
      <c r="N41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19" spans="1:14" x14ac:dyDescent="0.3">
      <c r="A419">
        <v>2019</v>
      </c>
      <c r="B419" t="s">
        <v>10</v>
      </c>
      <c r="C419">
        <v>18</v>
      </c>
      <c r="D419" t="s">
        <v>155</v>
      </c>
      <c r="E419">
        <v>288</v>
      </c>
      <c r="F419" t="s">
        <v>12</v>
      </c>
      <c r="G419" t="s">
        <v>3</v>
      </c>
      <c r="H419" s="1">
        <v>39</v>
      </c>
      <c r="I419" s="1">
        <v>586</v>
      </c>
      <c r="J419" s="2">
        <v>1881</v>
      </c>
      <c r="K419" s="1">
        <v>15.025641025641026</v>
      </c>
      <c r="L419" s="1">
        <v>3.2098976109215016</v>
      </c>
      <c r="M419" s="1">
        <v>48.230769230769234</v>
      </c>
      <c r="N41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20" spans="1:14" x14ac:dyDescent="0.3">
      <c r="A420">
        <v>2019</v>
      </c>
      <c r="B420" t="s">
        <v>60</v>
      </c>
      <c r="C420">
        <v>6</v>
      </c>
      <c r="D420" t="s">
        <v>172</v>
      </c>
      <c r="E420">
        <v>67</v>
      </c>
      <c r="F420" t="s">
        <v>20</v>
      </c>
      <c r="G420" t="s">
        <v>13</v>
      </c>
      <c r="H420" s="1">
        <v>110</v>
      </c>
      <c r="I420" s="1">
        <v>766</v>
      </c>
      <c r="J420" s="2">
        <v>1776</v>
      </c>
      <c r="K420" s="1">
        <v>6.9636363636363638</v>
      </c>
      <c r="L420" s="1">
        <v>2.3185378590078329</v>
      </c>
      <c r="M420" s="1">
        <v>16.145454545454545</v>
      </c>
      <c r="N42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21" spans="1:14" x14ac:dyDescent="0.3">
      <c r="A421">
        <v>2019</v>
      </c>
      <c r="B421" t="s">
        <v>77</v>
      </c>
      <c r="C421">
        <v>8</v>
      </c>
      <c r="D421" t="s">
        <v>181</v>
      </c>
      <c r="E421">
        <v>629</v>
      </c>
      <c r="F421" t="s">
        <v>20</v>
      </c>
      <c r="G421" t="s">
        <v>13</v>
      </c>
      <c r="H421" s="1">
        <v>28</v>
      </c>
      <c r="I421" s="1">
        <v>517</v>
      </c>
      <c r="J421" s="2">
        <v>499</v>
      </c>
      <c r="K421" s="1">
        <v>18.464285714285715</v>
      </c>
      <c r="L421" s="1">
        <v>0.96518375241779497</v>
      </c>
      <c r="M421" s="1">
        <v>17.821428571428573</v>
      </c>
      <c r="N42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2" spans="1:14" x14ac:dyDescent="0.3">
      <c r="A422">
        <v>2019</v>
      </c>
      <c r="B422" t="s">
        <v>14</v>
      </c>
      <c r="C422">
        <v>21</v>
      </c>
      <c r="D422" t="s">
        <v>182</v>
      </c>
      <c r="E422">
        <v>370</v>
      </c>
      <c r="F422" t="s">
        <v>6</v>
      </c>
      <c r="G422" t="s">
        <v>13</v>
      </c>
      <c r="H422" s="1">
        <v>0</v>
      </c>
      <c r="I422" s="1">
        <v>0</v>
      </c>
      <c r="J422" s="2">
        <v>0</v>
      </c>
      <c r="K422" s="1">
        <v>0</v>
      </c>
      <c r="L422" s="1">
        <v>0</v>
      </c>
      <c r="M422" s="1">
        <v>0</v>
      </c>
      <c r="N42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3" spans="1:14" x14ac:dyDescent="0.3">
      <c r="A423">
        <v>2019</v>
      </c>
      <c r="B423" t="s">
        <v>32</v>
      </c>
      <c r="C423">
        <v>14</v>
      </c>
      <c r="D423" t="s">
        <v>186</v>
      </c>
      <c r="E423">
        <v>254</v>
      </c>
      <c r="F423" t="s">
        <v>12</v>
      </c>
      <c r="G423" t="s">
        <v>13</v>
      </c>
      <c r="H423" s="1">
        <v>0</v>
      </c>
      <c r="I423" s="1">
        <v>0</v>
      </c>
      <c r="J423" s="2">
        <v>0</v>
      </c>
      <c r="K423" s="1">
        <v>0</v>
      </c>
      <c r="L423" s="1">
        <v>0</v>
      </c>
      <c r="M423" s="1">
        <v>0</v>
      </c>
      <c r="N42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4" spans="1:14" x14ac:dyDescent="0.3">
      <c r="A424">
        <v>2019</v>
      </c>
      <c r="B424" t="s">
        <v>53</v>
      </c>
      <c r="C424">
        <v>27</v>
      </c>
      <c r="D424" t="s">
        <v>119</v>
      </c>
      <c r="E424">
        <v>490</v>
      </c>
      <c r="F424" t="s">
        <v>25</v>
      </c>
      <c r="G424" t="s">
        <v>13</v>
      </c>
      <c r="H424" s="1">
        <v>269</v>
      </c>
      <c r="I424" s="1">
        <v>2094</v>
      </c>
      <c r="J424" s="2">
        <v>8898</v>
      </c>
      <c r="K424" s="1">
        <v>7.7843866171003722</v>
      </c>
      <c r="L424" s="1">
        <v>4.2492836676217767</v>
      </c>
      <c r="M424" s="1">
        <v>33.078066914498145</v>
      </c>
      <c r="N42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25" spans="1:14" x14ac:dyDescent="0.3">
      <c r="A425">
        <v>2019</v>
      </c>
      <c r="B425" t="s">
        <v>79</v>
      </c>
      <c r="C425">
        <v>20</v>
      </c>
      <c r="D425" t="s">
        <v>93</v>
      </c>
      <c r="E425">
        <v>332</v>
      </c>
      <c r="F425" t="s">
        <v>6</v>
      </c>
      <c r="G425" t="s">
        <v>3</v>
      </c>
      <c r="H425" s="1">
        <v>26</v>
      </c>
      <c r="I425" s="1">
        <v>342</v>
      </c>
      <c r="J425" s="2">
        <v>849</v>
      </c>
      <c r="K425" s="1">
        <v>13.153846153846153</v>
      </c>
      <c r="L425" s="1">
        <v>2.4824561403508771</v>
      </c>
      <c r="M425" s="1">
        <v>32.653846153846153</v>
      </c>
      <c r="N42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26" spans="1:14" x14ac:dyDescent="0.3">
      <c r="A426">
        <v>2019</v>
      </c>
      <c r="B426" t="s">
        <v>0</v>
      </c>
      <c r="C426">
        <v>9</v>
      </c>
      <c r="D426" t="s">
        <v>202</v>
      </c>
      <c r="E426">
        <v>17</v>
      </c>
      <c r="F426" t="s">
        <v>2</v>
      </c>
      <c r="G426" t="s">
        <v>13</v>
      </c>
      <c r="H426" s="1">
        <v>49</v>
      </c>
      <c r="I426" s="1">
        <v>584</v>
      </c>
      <c r="J426" s="2">
        <v>643</v>
      </c>
      <c r="K426" s="1">
        <v>11.918367346938776</v>
      </c>
      <c r="L426" s="1">
        <v>1.101027397260274</v>
      </c>
      <c r="M426" s="1">
        <v>13.122448979591837</v>
      </c>
      <c r="N42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27" spans="1:14" x14ac:dyDescent="0.3">
      <c r="A427">
        <v>2019</v>
      </c>
      <c r="B427" t="s">
        <v>4</v>
      </c>
      <c r="C427">
        <v>10</v>
      </c>
      <c r="D427" t="s">
        <v>206</v>
      </c>
      <c r="E427">
        <v>211</v>
      </c>
      <c r="F427" t="s">
        <v>6</v>
      </c>
      <c r="G427" t="s">
        <v>13</v>
      </c>
      <c r="H427" s="1">
        <v>0</v>
      </c>
      <c r="I427" s="1">
        <v>0</v>
      </c>
      <c r="J427" s="2">
        <v>0</v>
      </c>
      <c r="K427" s="1">
        <v>0</v>
      </c>
      <c r="L427" s="1">
        <v>0</v>
      </c>
      <c r="M427" s="1">
        <v>0</v>
      </c>
      <c r="N42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8" spans="1:14" x14ac:dyDescent="0.3">
      <c r="A428">
        <v>2019</v>
      </c>
      <c r="B428" t="s">
        <v>53</v>
      </c>
      <c r="C428">
        <v>27</v>
      </c>
      <c r="D428" t="s">
        <v>207</v>
      </c>
      <c r="E428">
        <v>494</v>
      </c>
      <c r="F428" t="s">
        <v>25</v>
      </c>
      <c r="G428" t="s">
        <v>3</v>
      </c>
      <c r="H428" s="1">
        <v>0</v>
      </c>
      <c r="I428" s="1">
        <v>0</v>
      </c>
      <c r="J428" s="2">
        <v>0</v>
      </c>
      <c r="K428" s="1">
        <v>0</v>
      </c>
      <c r="L428" s="1">
        <v>0</v>
      </c>
      <c r="M428" s="1">
        <v>0</v>
      </c>
      <c r="N42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29" spans="1:14" x14ac:dyDescent="0.3">
      <c r="A429">
        <v>2019</v>
      </c>
      <c r="B429" t="s">
        <v>41</v>
      </c>
      <c r="C429">
        <v>29</v>
      </c>
      <c r="D429" t="s">
        <v>209</v>
      </c>
      <c r="E429">
        <v>534</v>
      </c>
      <c r="F429" t="s">
        <v>9</v>
      </c>
      <c r="G429" t="s">
        <v>27</v>
      </c>
      <c r="H429" s="1">
        <v>0</v>
      </c>
      <c r="I429" s="1">
        <v>0</v>
      </c>
      <c r="J429" s="2">
        <v>0</v>
      </c>
      <c r="K429" s="1">
        <v>0</v>
      </c>
      <c r="L429" s="1">
        <v>0</v>
      </c>
      <c r="M429" s="1">
        <v>0</v>
      </c>
      <c r="N42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0" spans="1:14" x14ac:dyDescent="0.3">
      <c r="A430">
        <v>2019</v>
      </c>
      <c r="B430" t="s">
        <v>21</v>
      </c>
      <c r="C430">
        <v>19</v>
      </c>
      <c r="D430" t="s">
        <v>214</v>
      </c>
      <c r="E430">
        <v>312</v>
      </c>
      <c r="F430" t="s">
        <v>6</v>
      </c>
      <c r="G430" t="s">
        <v>13</v>
      </c>
      <c r="H430" s="1">
        <v>0</v>
      </c>
      <c r="I430" s="1">
        <v>0</v>
      </c>
      <c r="J430" s="2">
        <v>0</v>
      </c>
      <c r="K430" s="1">
        <v>0</v>
      </c>
      <c r="L430" s="1">
        <v>0</v>
      </c>
      <c r="M430" s="1">
        <v>0</v>
      </c>
      <c r="N43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1" spans="1:14" x14ac:dyDescent="0.3">
      <c r="A431">
        <v>2019</v>
      </c>
      <c r="B431" t="s">
        <v>23</v>
      </c>
      <c r="C431">
        <v>24</v>
      </c>
      <c r="D431" t="s">
        <v>216</v>
      </c>
      <c r="E431">
        <v>440</v>
      </c>
      <c r="F431" t="s">
        <v>25</v>
      </c>
      <c r="G431" t="s">
        <v>13</v>
      </c>
      <c r="H431" s="1">
        <v>124</v>
      </c>
      <c r="I431" s="1">
        <v>1171</v>
      </c>
      <c r="J431" s="2">
        <v>4677</v>
      </c>
      <c r="K431" s="1">
        <v>9.443548387096774</v>
      </c>
      <c r="L431" s="1">
        <v>3.9940222032450898</v>
      </c>
      <c r="M431" s="1">
        <v>37.717741935483872</v>
      </c>
      <c r="N43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32" spans="1:14" x14ac:dyDescent="0.3">
      <c r="A432">
        <v>2019</v>
      </c>
      <c r="B432" t="s">
        <v>14</v>
      </c>
      <c r="C432">
        <v>21</v>
      </c>
      <c r="D432" t="s">
        <v>219</v>
      </c>
      <c r="E432">
        <v>345</v>
      </c>
      <c r="F432" t="s">
        <v>6</v>
      </c>
      <c r="G432" t="s">
        <v>13</v>
      </c>
      <c r="H432" s="1">
        <v>0</v>
      </c>
      <c r="I432" s="1">
        <v>0</v>
      </c>
      <c r="J432" s="2">
        <v>0</v>
      </c>
      <c r="K432" s="1">
        <v>0</v>
      </c>
      <c r="L432" s="1">
        <v>0</v>
      </c>
      <c r="M432" s="1">
        <v>0</v>
      </c>
      <c r="N43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3" spans="1:14" x14ac:dyDescent="0.3">
      <c r="A433">
        <v>2019</v>
      </c>
      <c r="B433" t="s">
        <v>0</v>
      </c>
      <c r="C433">
        <v>9</v>
      </c>
      <c r="D433" t="s">
        <v>221</v>
      </c>
      <c r="E433">
        <v>186</v>
      </c>
      <c r="F433" t="s">
        <v>2</v>
      </c>
      <c r="G433" t="s">
        <v>13</v>
      </c>
      <c r="H433" s="1">
        <v>0</v>
      </c>
      <c r="I433" s="1">
        <v>0</v>
      </c>
      <c r="J433" s="2">
        <v>0</v>
      </c>
      <c r="K433" s="1">
        <v>0</v>
      </c>
      <c r="L433" s="1">
        <v>0</v>
      </c>
      <c r="M433" s="1">
        <v>0</v>
      </c>
      <c r="N43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4" spans="1:14" x14ac:dyDescent="0.3">
      <c r="A434">
        <v>2019</v>
      </c>
      <c r="B434" t="s">
        <v>38</v>
      </c>
      <c r="C434">
        <v>23</v>
      </c>
      <c r="D434" t="s">
        <v>228</v>
      </c>
      <c r="E434">
        <v>420</v>
      </c>
      <c r="F434" t="s">
        <v>2</v>
      </c>
      <c r="G434" t="s">
        <v>13</v>
      </c>
      <c r="H434" s="1">
        <v>0</v>
      </c>
      <c r="I434" s="1">
        <v>0</v>
      </c>
      <c r="J434" s="2">
        <v>0</v>
      </c>
      <c r="K434" s="1">
        <v>0</v>
      </c>
      <c r="L434" s="1">
        <v>0</v>
      </c>
      <c r="M434" s="1">
        <v>0</v>
      </c>
      <c r="N43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5" spans="1:14" x14ac:dyDescent="0.3">
      <c r="A435">
        <v>2019</v>
      </c>
      <c r="B435" t="s">
        <v>23</v>
      </c>
      <c r="C435">
        <v>24</v>
      </c>
      <c r="D435" t="s">
        <v>229</v>
      </c>
      <c r="E435">
        <v>461</v>
      </c>
      <c r="F435" t="s">
        <v>25</v>
      </c>
      <c r="G435" t="s">
        <v>17</v>
      </c>
      <c r="H435" s="1">
        <v>487</v>
      </c>
      <c r="I435" s="1">
        <v>5836</v>
      </c>
      <c r="J435" s="2">
        <v>74753</v>
      </c>
      <c r="K435" s="1">
        <v>11.983572895277208</v>
      </c>
      <c r="L435" s="1">
        <v>12.808944482522275</v>
      </c>
      <c r="M435" s="1">
        <v>153.49691991786449</v>
      </c>
      <c r="N43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436" spans="1:14" x14ac:dyDescent="0.3">
      <c r="A436">
        <v>2019</v>
      </c>
      <c r="B436" t="s">
        <v>0</v>
      </c>
      <c r="C436">
        <v>9</v>
      </c>
      <c r="D436" t="s">
        <v>230</v>
      </c>
      <c r="E436">
        <v>172</v>
      </c>
      <c r="F436" t="s">
        <v>2</v>
      </c>
      <c r="G436" t="s">
        <v>27</v>
      </c>
      <c r="H436" s="1">
        <v>0</v>
      </c>
      <c r="I436" s="1">
        <v>0</v>
      </c>
      <c r="J436" s="2">
        <v>0</v>
      </c>
      <c r="K436" s="1">
        <v>0</v>
      </c>
      <c r="L436" s="1">
        <v>0</v>
      </c>
      <c r="M436" s="1">
        <v>0</v>
      </c>
      <c r="N43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7" spans="1:14" x14ac:dyDescent="0.3">
      <c r="A437">
        <v>2019</v>
      </c>
      <c r="B437" t="s">
        <v>60</v>
      </c>
      <c r="C437">
        <v>6</v>
      </c>
      <c r="D437" t="s">
        <v>232</v>
      </c>
      <c r="E437">
        <v>64</v>
      </c>
      <c r="F437" t="s">
        <v>20</v>
      </c>
      <c r="G437" t="s">
        <v>13</v>
      </c>
      <c r="H437" s="1">
        <v>0</v>
      </c>
      <c r="I437" s="1">
        <v>0</v>
      </c>
      <c r="J437" s="2">
        <v>0</v>
      </c>
      <c r="K437" s="1">
        <v>0</v>
      </c>
      <c r="L437" s="1">
        <v>0</v>
      </c>
      <c r="M437" s="1">
        <v>0</v>
      </c>
      <c r="N43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38" spans="1:14" x14ac:dyDescent="0.3">
      <c r="A438">
        <v>2019</v>
      </c>
      <c r="B438" t="s">
        <v>7</v>
      </c>
      <c r="C438">
        <v>33</v>
      </c>
      <c r="D438" t="s">
        <v>169</v>
      </c>
      <c r="E438">
        <v>589</v>
      </c>
      <c r="F438" t="s">
        <v>9</v>
      </c>
      <c r="G438" t="s">
        <v>3</v>
      </c>
      <c r="H438" s="1">
        <v>198</v>
      </c>
      <c r="I438" s="1">
        <v>2450</v>
      </c>
      <c r="J438" s="2">
        <v>10179</v>
      </c>
      <c r="K438" s="1">
        <v>12.373737373737374</v>
      </c>
      <c r="L438" s="1">
        <v>4.1546938775510203</v>
      </c>
      <c r="M438" s="1">
        <v>51.409090909090907</v>
      </c>
      <c r="N43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39" spans="1:14" x14ac:dyDescent="0.3">
      <c r="A439">
        <v>2019</v>
      </c>
      <c r="B439" t="s">
        <v>0</v>
      </c>
      <c r="C439">
        <v>9</v>
      </c>
      <c r="D439" t="s">
        <v>233</v>
      </c>
      <c r="E439">
        <v>147</v>
      </c>
      <c r="F439" t="s">
        <v>2</v>
      </c>
      <c r="G439" t="s">
        <v>27</v>
      </c>
      <c r="H439" s="1">
        <v>43</v>
      </c>
      <c r="I439" s="1">
        <v>540</v>
      </c>
      <c r="J439" s="2">
        <v>2741</v>
      </c>
      <c r="K439" s="1">
        <v>12.55813953488372</v>
      </c>
      <c r="L439" s="1">
        <v>5.075925925925926</v>
      </c>
      <c r="M439" s="1">
        <v>63.744186046511629</v>
      </c>
      <c r="N43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40" spans="1:14" x14ac:dyDescent="0.3">
      <c r="A440">
        <v>2019</v>
      </c>
      <c r="B440" t="s">
        <v>10</v>
      </c>
      <c r="C440">
        <v>18</v>
      </c>
      <c r="D440" t="s">
        <v>236</v>
      </c>
      <c r="E440">
        <v>301</v>
      </c>
      <c r="F440" t="s">
        <v>12</v>
      </c>
      <c r="G440" t="s">
        <v>3</v>
      </c>
      <c r="H440" s="1">
        <v>55</v>
      </c>
      <c r="I440" s="1">
        <v>932</v>
      </c>
      <c r="J440" s="2">
        <v>3571</v>
      </c>
      <c r="K440" s="1">
        <v>16.945454545454545</v>
      </c>
      <c r="L440" s="1">
        <v>3.8315450643776825</v>
      </c>
      <c r="M440" s="1">
        <v>64.927272727272722</v>
      </c>
      <c r="N44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41" spans="1:14" x14ac:dyDescent="0.3">
      <c r="A441">
        <v>2019</v>
      </c>
      <c r="B441" t="s">
        <v>136</v>
      </c>
      <c r="C441">
        <v>15</v>
      </c>
      <c r="D441" t="s">
        <v>137</v>
      </c>
      <c r="E441">
        <v>264</v>
      </c>
      <c r="F441" t="s">
        <v>12</v>
      </c>
      <c r="G441" t="s">
        <v>13</v>
      </c>
      <c r="H441" s="1">
        <v>5</v>
      </c>
      <c r="I441" s="1">
        <v>67</v>
      </c>
      <c r="J441" s="2">
        <v>97</v>
      </c>
      <c r="K441" s="1">
        <v>13.4</v>
      </c>
      <c r="L441" s="1">
        <v>1.4477611940298507</v>
      </c>
      <c r="M441" s="1">
        <v>19.399999999999999</v>
      </c>
      <c r="N44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42" spans="1:14" x14ac:dyDescent="0.3">
      <c r="A442">
        <v>2019</v>
      </c>
      <c r="B442" t="s">
        <v>7</v>
      </c>
      <c r="C442">
        <v>33</v>
      </c>
      <c r="D442" t="s">
        <v>242</v>
      </c>
      <c r="E442">
        <v>580</v>
      </c>
      <c r="F442" t="s">
        <v>9</v>
      </c>
      <c r="G442" t="s">
        <v>3</v>
      </c>
      <c r="H442" s="1">
        <v>0</v>
      </c>
      <c r="I442" s="1">
        <v>0</v>
      </c>
      <c r="J442" s="2">
        <v>0</v>
      </c>
      <c r="K442" s="1">
        <v>0</v>
      </c>
      <c r="L442" s="1">
        <v>0</v>
      </c>
      <c r="M442" s="1">
        <v>0</v>
      </c>
      <c r="N44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3" spans="1:14" x14ac:dyDescent="0.3">
      <c r="A443">
        <v>2019</v>
      </c>
      <c r="B443" t="s">
        <v>4</v>
      </c>
      <c r="C443">
        <v>10</v>
      </c>
      <c r="D443" t="s">
        <v>245</v>
      </c>
      <c r="E443">
        <v>193</v>
      </c>
      <c r="F443" t="s">
        <v>6</v>
      </c>
      <c r="G443" t="s">
        <v>3</v>
      </c>
      <c r="H443" s="1">
        <v>0</v>
      </c>
      <c r="I443" s="1">
        <v>0</v>
      </c>
      <c r="J443" s="2">
        <v>0</v>
      </c>
      <c r="K443" s="1">
        <v>0</v>
      </c>
      <c r="L443" s="1">
        <v>0</v>
      </c>
      <c r="M443" s="1">
        <v>0</v>
      </c>
      <c r="N44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4" spans="1:14" x14ac:dyDescent="0.3">
      <c r="A444">
        <v>2019</v>
      </c>
      <c r="B444" t="s">
        <v>60</v>
      </c>
      <c r="C444">
        <v>6</v>
      </c>
      <c r="D444" t="s">
        <v>232</v>
      </c>
      <c r="E444">
        <v>64</v>
      </c>
      <c r="F444" t="s">
        <v>20</v>
      </c>
      <c r="G444" t="s">
        <v>3</v>
      </c>
      <c r="H444" s="1">
        <v>0</v>
      </c>
      <c r="I444" s="1">
        <v>0</v>
      </c>
      <c r="J444" s="2">
        <v>0</v>
      </c>
      <c r="K444" s="1">
        <v>0</v>
      </c>
      <c r="L444" s="1">
        <v>0</v>
      </c>
      <c r="M444" s="1">
        <v>0</v>
      </c>
      <c r="N44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5" spans="1:14" x14ac:dyDescent="0.3">
      <c r="A445">
        <v>2019</v>
      </c>
      <c r="B445" t="s">
        <v>4</v>
      </c>
      <c r="C445">
        <v>10</v>
      </c>
      <c r="D445" t="s">
        <v>206</v>
      </c>
      <c r="E445">
        <v>211</v>
      </c>
      <c r="F445" t="s">
        <v>6</v>
      </c>
      <c r="G445" t="s">
        <v>3</v>
      </c>
      <c r="H445" s="1">
        <v>0</v>
      </c>
      <c r="I445" s="1">
        <v>0</v>
      </c>
      <c r="J445" s="2">
        <v>0</v>
      </c>
      <c r="K445" s="1">
        <v>0</v>
      </c>
      <c r="L445" s="1">
        <v>0</v>
      </c>
      <c r="M445" s="1">
        <v>0</v>
      </c>
      <c r="N44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6" spans="1:14" x14ac:dyDescent="0.3">
      <c r="A446">
        <v>2019</v>
      </c>
      <c r="B446" t="s">
        <v>0</v>
      </c>
      <c r="C446">
        <v>9</v>
      </c>
      <c r="D446" t="s">
        <v>251</v>
      </c>
      <c r="E446">
        <v>154</v>
      </c>
      <c r="F446" t="s">
        <v>2</v>
      </c>
      <c r="G446" t="s">
        <v>13</v>
      </c>
      <c r="H446" s="1">
        <v>0</v>
      </c>
      <c r="I446" s="1">
        <v>0</v>
      </c>
      <c r="J446" s="2">
        <v>0</v>
      </c>
      <c r="K446" s="1">
        <v>0</v>
      </c>
      <c r="L446" s="1">
        <v>0</v>
      </c>
      <c r="M446" s="1">
        <v>0</v>
      </c>
      <c r="N44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7" spans="1:14" x14ac:dyDescent="0.3">
      <c r="A447">
        <v>2019</v>
      </c>
      <c r="B447" t="s">
        <v>18</v>
      </c>
      <c r="C447">
        <v>7</v>
      </c>
      <c r="D447" t="s">
        <v>252</v>
      </c>
      <c r="E447">
        <v>79</v>
      </c>
      <c r="F447" t="s">
        <v>20</v>
      </c>
      <c r="G447" t="s">
        <v>13</v>
      </c>
      <c r="H447" s="1">
        <v>11</v>
      </c>
      <c r="I447" s="1">
        <v>103</v>
      </c>
      <c r="J447" s="2">
        <v>605</v>
      </c>
      <c r="K447" s="1">
        <v>9.3636363636363633</v>
      </c>
      <c r="L447" s="1">
        <v>5.8737864077669899</v>
      </c>
      <c r="M447" s="1">
        <v>55</v>
      </c>
      <c r="N44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48" spans="1:14" x14ac:dyDescent="0.3">
      <c r="A448">
        <v>2019</v>
      </c>
      <c r="B448" t="s">
        <v>38</v>
      </c>
      <c r="C448">
        <v>23</v>
      </c>
      <c r="D448" t="s">
        <v>253</v>
      </c>
      <c r="E448">
        <v>425</v>
      </c>
      <c r="F448" t="s">
        <v>2</v>
      </c>
      <c r="G448" t="s">
        <v>3</v>
      </c>
      <c r="H448" s="1">
        <v>0</v>
      </c>
      <c r="I448" s="1">
        <v>0</v>
      </c>
      <c r="J448" s="2">
        <v>0</v>
      </c>
      <c r="K448" s="1">
        <v>0</v>
      </c>
      <c r="L448" s="1">
        <v>0</v>
      </c>
      <c r="M448" s="1">
        <v>0</v>
      </c>
      <c r="N44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49" spans="1:14" x14ac:dyDescent="0.3">
      <c r="A449">
        <v>2019</v>
      </c>
      <c r="B449" t="s">
        <v>41</v>
      </c>
      <c r="C449">
        <v>29</v>
      </c>
      <c r="D449" t="s">
        <v>160</v>
      </c>
      <c r="E449">
        <v>528</v>
      </c>
      <c r="F449" t="s">
        <v>9</v>
      </c>
      <c r="G449" t="s">
        <v>13</v>
      </c>
      <c r="H449" s="1">
        <v>0</v>
      </c>
      <c r="I449" s="1">
        <v>0</v>
      </c>
      <c r="J449" s="2">
        <v>0</v>
      </c>
      <c r="K449" s="1">
        <v>0</v>
      </c>
      <c r="L449" s="1">
        <v>0</v>
      </c>
      <c r="M449" s="1">
        <v>0</v>
      </c>
      <c r="N44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0" spans="1:14" x14ac:dyDescent="0.3">
      <c r="A450">
        <v>2019</v>
      </c>
      <c r="B450" t="s">
        <v>53</v>
      </c>
      <c r="C450">
        <v>27</v>
      </c>
      <c r="D450" t="s">
        <v>240</v>
      </c>
      <c r="E450">
        <v>189</v>
      </c>
      <c r="F450" t="s">
        <v>25</v>
      </c>
      <c r="G450" t="s">
        <v>13</v>
      </c>
      <c r="H450" s="1">
        <v>85</v>
      </c>
      <c r="I450" s="1">
        <v>1289</v>
      </c>
      <c r="J450" s="2">
        <v>2472</v>
      </c>
      <c r="K450" s="1">
        <v>15.164705882352941</v>
      </c>
      <c r="L450" s="1">
        <v>1.9177657098525989</v>
      </c>
      <c r="M450" s="1">
        <v>29.08235294117647</v>
      </c>
      <c r="N45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51" spans="1:14" x14ac:dyDescent="0.3">
      <c r="A451">
        <v>2019</v>
      </c>
      <c r="B451" t="s">
        <v>4</v>
      </c>
      <c r="C451">
        <v>10</v>
      </c>
      <c r="D451" t="s">
        <v>265</v>
      </c>
      <c r="E451">
        <v>192</v>
      </c>
      <c r="F451" t="s">
        <v>6</v>
      </c>
      <c r="G451" t="s">
        <v>13</v>
      </c>
      <c r="H451" s="1">
        <v>86</v>
      </c>
      <c r="I451" s="1">
        <v>1400</v>
      </c>
      <c r="J451" s="2">
        <v>2219</v>
      </c>
      <c r="K451" s="1">
        <v>16.279069767441861</v>
      </c>
      <c r="L451" s="1">
        <v>1.585</v>
      </c>
      <c r="M451" s="1">
        <v>25.802325581395348</v>
      </c>
      <c r="N45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52" spans="1:14" x14ac:dyDescent="0.3">
      <c r="A452">
        <v>2019</v>
      </c>
      <c r="B452" t="s">
        <v>77</v>
      </c>
      <c r="C452">
        <v>8</v>
      </c>
      <c r="D452" t="s">
        <v>269</v>
      </c>
      <c r="E452">
        <v>109</v>
      </c>
      <c r="F452" t="s">
        <v>20</v>
      </c>
      <c r="G452" t="s">
        <v>17</v>
      </c>
      <c r="H452" s="1">
        <v>165</v>
      </c>
      <c r="I452" s="1">
        <v>1932</v>
      </c>
      <c r="J452" s="2">
        <v>15546</v>
      </c>
      <c r="K452" s="1">
        <v>11.709090909090909</v>
      </c>
      <c r="L452" s="1">
        <v>8.0465838509316772</v>
      </c>
      <c r="M452" s="1">
        <v>94.218181818181819</v>
      </c>
      <c r="N45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453" spans="1:14" x14ac:dyDescent="0.3">
      <c r="A453">
        <v>2019</v>
      </c>
      <c r="B453" t="s">
        <v>89</v>
      </c>
      <c r="C453">
        <v>34</v>
      </c>
      <c r="D453" t="s">
        <v>276</v>
      </c>
      <c r="E453">
        <v>600</v>
      </c>
      <c r="F453" t="s">
        <v>9</v>
      </c>
      <c r="G453" t="s">
        <v>27</v>
      </c>
      <c r="H453" s="1">
        <v>0</v>
      </c>
      <c r="I453" s="1">
        <v>0</v>
      </c>
      <c r="J453" s="2">
        <v>0</v>
      </c>
      <c r="K453" s="1">
        <v>0</v>
      </c>
      <c r="L453" s="1">
        <v>0</v>
      </c>
      <c r="M453" s="1">
        <v>0</v>
      </c>
      <c r="N45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4" spans="1:14" x14ac:dyDescent="0.3">
      <c r="A454">
        <v>2019</v>
      </c>
      <c r="B454" t="s">
        <v>58</v>
      </c>
      <c r="C454">
        <v>28</v>
      </c>
      <c r="D454" t="s">
        <v>76</v>
      </c>
      <c r="E454">
        <v>504</v>
      </c>
      <c r="F454" t="s">
        <v>9</v>
      </c>
      <c r="G454" t="s">
        <v>3</v>
      </c>
      <c r="H454" s="1">
        <v>0</v>
      </c>
      <c r="I454" s="1">
        <v>0</v>
      </c>
      <c r="J454" s="2">
        <v>0</v>
      </c>
      <c r="K454" s="1">
        <v>0</v>
      </c>
      <c r="L454" s="1">
        <v>0</v>
      </c>
      <c r="M454" s="1">
        <v>0</v>
      </c>
      <c r="N45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5" spans="1:14" x14ac:dyDescent="0.3">
      <c r="A455">
        <v>2019</v>
      </c>
      <c r="B455" t="s">
        <v>58</v>
      </c>
      <c r="C455">
        <v>28</v>
      </c>
      <c r="D455" t="s">
        <v>76</v>
      </c>
      <c r="E455">
        <v>504</v>
      </c>
      <c r="F455" t="s">
        <v>9</v>
      </c>
      <c r="G455" t="s">
        <v>3</v>
      </c>
      <c r="H455" s="1">
        <v>110</v>
      </c>
      <c r="I455" s="1">
        <v>1607</v>
      </c>
      <c r="J455" s="2">
        <v>4036</v>
      </c>
      <c r="K455" s="1">
        <v>14.609090909090909</v>
      </c>
      <c r="L455" s="1">
        <v>2.5115121344119475</v>
      </c>
      <c r="M455" s="1">
        <v>36.690909090909088</v>
      </c>
      <c r="N45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56" spans="1:14" x14ac:dyDescent="0.3">
      <c r="A456">
        <v>2019</v>
      </c>
      <c r="B456" t="s">
        <v>41</v>
      </c>
      <c r="C456">
        <v>29</v>
      </c>
      <c r="D456" t="s">
        <v>281</v>
      </c>
      <c r="E456">
        <v>529</v>
      </c>
      <c r="F456" t="s">
        <v>9</v>
      </c>
      <c r="G456" t="s">
        <v>13</v>
      </c>
      <c r="H456" s="1">
        <v>0</v>
      </c>
      <c r="I456" s="1">
        <v>0</v>
      </c>
      <c r="J456" s="2">
        <v>0</v>
      </c>
      <c r="K456" s="1">
        <v>0</v>
      </c>
      <c r="L456" s="1">
        <v>0</v>
      </c>
      <c r="M456" s="1">
        <v>0</v>
      </c>
      <c r="N45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7" spans="1:14" x14ac:dyDescent="0.3">
      <c r="A457">
        <v>2019</v>
      </c>
      <c r="B457" t="s">
        <v>53</v>
      </c>
      <c r="C457">
        <v>27</v>
      </c>
      <c r="D457" t="s">
        <v>85</v>
      </c>
      <c r="E457">
        <v>484</v>
      </c>
      <c r="F457" t="s">
        <v>25</v>
      </c>
      <c r="G457" t="s">
        <v>17</v>
      </c>
      <c r="H457" s="1">
        <v>0</v>
      </c>
      <c r="I457" s="1">
        <v>0</v>
      </c>
      <c r="J457" s="2">
        <v>0</v>
      </c>
      <c r="K457" s="1">
        <v>0</v>
      </c>
      <c r="L457" s="1">
        <v>0</v>
      </c>
      <c r="M457" s="1">
        <v>0</v>
      </c>
      <c r="N45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58" spans="1:14" x14ac:dyDescent="0.3">
      <c r="A458">
        <v>2019</v>
      </c>
      <c r="B458" t="s">
        <v>0</v>
      </c>
      <c r="C458">
        <v>9</v>
      </c>
      <c r="D458" t="s">
        <v>282</v>
      </c>
      <c r="E458">
        <v>169</v>
      </c>
      <c r="F458" t="s">
        <v>2</v>
      </c>
      <c r="G458" t="s">
        <v>13</v>
      </c>
      <c r="H458" s="1">
        <v>115</v>
      </c>
      <c r="I458" s="1">
        <v>1311</v>
      </c>
      <c r="J458" s="2">
        <v>2983</v>
      </c>
      <c r="K458" s="1">
        <v>11.4</v>
      </c>
      <c r="L458" s="1">
        <v>2.2753623188405796</v>
      </c>
      <c r="M458" s="1">
        <v>25.939130434782609</v>
      </c>
      <c r="N45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59" spans="1:14" x14ac:dyDescent="0.3">
      <c r="A459">
        <v>2019</v>
      </c>
      <c r="B459" t="s">
        <v>53</v>
      </c>
      <c r="C459">
        <v>27</v>
      </c>
      <c r="D459" t="s">
        <v>148</v>
      </c>
      <c r="E459">
        <v>488</v>
      </c>
      <c r="F459" t="s">
        <v>25</v>
      </c>
      <c r="G459" t="s">
        <v>3</v>
      </c>
      <c r="H459" s="1">
        <v>0</v>
      </c>
      <c r="I459" s="1">
        <v>0</v>
      </c>
      <c r="J459" s="2">
        <v>0</v>
      </c>
      <c r="K459" s="1">
        <v>0</v>
      </c>
      <c r="L459" s="1">
        <v>0</v>
      </c>
      <c r="M459" s="1">
        <v>0</v>
      </c>
      <c r="N45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0" spans="1:14" x14ac:dyDescent="0.3">
      <c r="A460">
        <v>2019</v>
      </c>
      <c r="B460" t="s">
        <v>21</v>
      </c>
      <c r="C460">
        <v>19</v>
      </c>
      <c r="D460" t="s">
        <v>288</v>
      </c>
      <c r="E460">
        <v>320</v>
      </c>
      <c r="F460" t="s">
        <v>6</v>
      </c>
      <c r="G460" t="s">
        <v>27</v>
      </c>
      <c r="H460" s="1">
        <v>0</v>
      </c>
      <c r="I460" s="1">
        <v>0</v>
      </c>
      <c r="J460" s="2">
        <v>0</v>
      </c>
      <c r="K460" s="1">
        <v>0</v>
      </c>
      <c r="L460" s="1">
        <v>0</v>
      </c>
      <c r="M460" s="1">
        <v>0</v>
      </c>
      <c r="N46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1" spans="1:14" x14ac:dyDescent="0.3">
      <c r="A461">
        <v>2019</v>
      </c>
      <c r="B461" t="s">
        <v>58</v>
      </c>
      <c r="C461">
        <v>28</v>
      </c>
      <c r="D461" t="s">
        <v>76</v>
      </c>
      <c r="E461">
        <v>504</v>
      </c>
      <c r="F461" t="s">
        <v>9</v>
      </c>
      <c r="G461" t="s">
        <v>27</v>
      </c>
      <c r="H461" s="1">
        <v>117</v>
      </c>
      <c r="I461" s="1">
        <v>1556</v>
      </c>
      <c r="J461" s="2">
        <v>6762</v>
      </c>
      <c r="K461" s="1">
        <v>13.2991452991453</v>
      </c>
      <c r="L461" s="1">
        <v>4.3457583547557839</v>
      </c>
      <c r="M461" s="1">
        <v>57.794871794871796</v>
      </c>
      <c r="N46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62" spans="1:14" x14ac:dyDescent="0.3">
      <c r="A462">
        <v>2019</v>
      </c>
      <c r="B462" t="s">
        <v>21</v>
      </c>
      <c r="C462">
        <v>19</v>
      </c>
      <c r="D462" t="s">
        <v>177</v>
      </c>
      <c r="E462">
        <v>314</v>
      </c>
      <c r="F462" t="s">
        <v>6</v>
      </c>
      <c r="G462" t="s">
        <v>3</v>
      </c>
      <c r="H462" s="1">
        <v>0</v>
      </c>
      <c r="I462" s="1">
        <v>0</v>
      </c>
      <c r="J462" s="2">
        <v>0</v>
      </c>
      <c r="K462" s="1">
        <v>0</v>
      </c>
      <c r="L462" s="1">
        <v>0</v>
      </c>
      <c r="M462" s="1">
        <v>0</v>
      </c>
      <c r="N46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3" spans="1:14" x14ac:dyDescent="0.3">
      <c r="A463">
        <v>2019</v>
      </c>
      <c r="B463" t="s">
        <v>65</v>
      </c>
      <c r="C463">
        <v>22</v>
      </c>
      <c r="D463" t="s">
        <v>294</v>
      </c>
      <c r="E463">
        <v>376</v>
      </c>
      <c r="F463" t="s">
        <v>2</v>
      </c>
      <c r="G463" t="s">
        <v>13</v>
      </c>
      <c r="H463" s="1">
        <v>21</v>
      </c>
      <c r="I463" s="1">
        <v>159</v>
      </c>
      <c r="J463" s="2">
        <v>304</v>
      </c>
      <c r="K463" s="1">
        <v>7.5714285714285712</v>
      </c>
      <c r="L463" s="1">
        <v>1.9119496855345912</v>
      </c>
      <c r="M463" s="1">
        <v>14.476190476190476</v>
      </c>
      <c r="N46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64" spans="1:14" x14ac:dyDescent="0.3">
      <c r="A464">
        <v>2019</v>
      </c>
      <c r="B464" t="s">
        <v>41</v>
      </c>
      <c r="C464">
        <v>29</v>
      </c>
      <c r="D464" t="s">
        <v>300</v>
      </c>
      <c r="E464">
        <v>635</v>
      </c>
      <c r="F464" t="s">
        <v>9</v>
      </c>
      <c r="G464" t="s">
        <v>3</v>
      </c>
      <c r="H464" s="1">
        <v>0</v>
      </c>
      <c r="I464" s="1">
        <v>0</v>
      </c>
      <c r="J464" s="2">
        <v>0</v>
      </c>
      <c r="K464" s="1">
        <v>0</v>
      </c>
      <c r="L464" s="1">
        <v>0</v>
      </c>
      <c r="M464" s="1">
        <v>0</v>
      </c>
      <c r="N46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5" spans="1:14" x14ac:dyDescent="0.3">
      <c r="A465">
        <v>2019</v>
      </c>
      <c r="B465" t="s">
        <v>65</v>
      </c>
      <c r="C465">
        <v>22</v>
      </c>
      <c r="D465" t="s">
        <v>124</v>
      </c>
      <c r="E465">
        <v>379</v>
      </c>
      <c r="F465" t="s">
        <v>2</v>
      </c>
      <c r="G465" t="s">
        <v>3</v>
      </c>
      <c r="H465" s="1">
        <v>55</v>
      </c>
      <c r="I465" s="1">
        <v>915</v>
      </c>
      <c r="J465" s="2">
        <v>3009</v>
      </c>
      <c r="K465" s="1">
        <v>16.636363636363637</v>
      </c>
      <c r="L465" s="1">
        <v>3.2885245901639344</v>
      </c>
      <c r="M465" s="1">
        <v>54.709090909090911</v>
      </c>
      <c r="N46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66" spans="1:14" x14ac:dyDescent="0.3">
      <c r="A466">
        <v>2019</v>
      </c>
      <c r="B466" t="s">
        <v>14</v>
      </c>
      <c r="C466">
        <v>21</v>
      </c>
      <c r="D466" t="s">
        <v>307</v>
      </c>
      <c r="E466">
        <v>372</v>
      </c>
      <c r="F466" t="s">
        <v>6</v>
      </c>
      <c r="G466" t="s">
        <v>13</v>
      </c>
      <c r="H466" s="1">
        <v>0</v>
      </c>
      <c r="I466" s="1">
        <v>0</v>
      </c>
      <c r="J466" s="2">
        <v>0</v>
      </c>
      <c r="K466" s="1">
        <v>0</v>
      </c>
      <c r="L466" s="1">
        <v>0</v>
      </c>
      <c r="M466" s="1">
        <v>0</v>
      </c>
      <c r="N46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67" spans="1:14" x14ac:dyDescent="0.3">
      <c r="A467">
        <v>2019</v>
      </c>
      <c r="B467" t="s">
        <v>274</v>
      </c>
      <c r="C467">
        <v>35</v>
      </c>
      <c r="D467" t="s">
        <v>275</v>
      </c>
      <c r="E467">
        <v>602</v>
      </c>
      <c r="F467" t="s">
        <v>6</v>
      </c>
      <c r="G467" t="s">
        <v>27</v>
      </c>
      <c r="H467" s="1">
        <v>34</v>
      </c>
      <c r="I467" s="1">
        <v>310</v>
      </c>
      <c r="J467" s="2">
        <v>3582</v>
      </c>
      <c r="K467" s="1">
        <v>9.117647058823529</v>
      </c>
      <c r="L467" s="1">
        <v>11.554838709677419</v>
      </c>
      <c r="M467" s="1">
        <v>105.35294117647059</v>
      </c>
      <c r="N46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468" spans="1:14" x14ac:dyDescent="0.3">
      <c r="A468">
        <v>2019</v>
      </c>
      <c r="B468" t="s">
        <v>44</v>
      </c>
      <c r="C468">
        <v>3</v>
      </c>
      <c r="D468" t="s">
        <v>310</v>
      </c>
      <c r="E468">
        <v>35</v>
      </c>
      <c r="F468" t="s">
        <v>20</v>
      </c>
      <c r="G468" t="s">
        <v>13</v>
      </c>
      <c r="H468" s="1">
        <v>128</v>
      </c>
      <c r="I468" s="1">
        <v>791</v>
      </c>
      <c r="J468" s="2">
        <v>4974</v>
      </c>
      <c r="K468" s="1">
        <v>6.1796875</v>
      </c>
      <c r="L468" s="1">
        <v>6.288242730720607</v>
      </c>
      <c r="M468" s="1">
        <v>38.859375</v>
      </c>
      <c r="N46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69" spans="1:14" x14ac:dyDescent="0.3">
      <c r="A469">
        <v>2019</v>
      </c>
      <c r="B469" t="s">
        <v>53</v>
      </c>
      <c r="C469">
        <v>27</v>
      </c>
      <c r="D469" t="s">
        <v>315</v>
      </c>
      <c r="E469">
        <v>478</v>
      </c>
      <c r="F469" t="s">
        <v>25</v>
      </c>
      <c r="G469" t="s">
        <v>13</v>
      </c>
      <c r="H469" s="1">
        <v>0</v>
      </c>
      <c r="I469" s="1">
        <v>0</v>
      </c>
      <c r="J469" s="2">
        <v>0</v>
      </c>
      <c r="K469" s="1">
        <v>0</v>
      </c>
      <c r="L469" s="1">
        <v>0</v>
      </c>
      <c r="M469" s="1">
        <v>0</v>
      </c>
      <c r="N46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70" spans="1:14" x14ac:dyDescent="0.3">
      <c r="A470">
        <v>2019</v>
      </c>
      <c r="B470" t="s">
        <v>136</v>
      </c>
      <c r="C470">
        <v>15</v>
      </c>
      <c r="D470" t="s">
        <v>319</v>
      </c>
      <c r="E470">
        <v>263</v>
      </c>
      <c r="F470" t="s">
        <v>12</v>
      </c>
      <c r="G470" t="s">
        <v>13</v>
      </c>
      <c r="H470" s="1">
        <v>4</v>
      </c>
      <c r="I470" s="1">
        <v>28</v>
      </c>
      <c r="J470" s="2">
        <v>73</v>
      </c>
      <c r="K470" s="1">
        <v>7</v>
      </c>
      <c r="L470" s="1">
        <v>2.6071428571428572</v>
      </c>
      <c r="M470" s="1">
        <v>18.25</v>
      </c>
      <c r="N47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1" spans="1:14" x14ac:dyDescent="0.3">
      <c r="A471">
        <v>2019</v>
      </c>
      <c r="B471" t="s">
        <v>60</v>
      </c>
      <c r="C471">
        <v>6</v>
      </c>
      <c r="D471" t="s">
        <v>322</v>
      </c>
      <c r="E471">
        <v>70</v>
      </c>
      <c r="F471" t="s">
        <v>20</v>
      </c>
      <c r="G471" t="s">
        <v>3</v>
      </c>
      <c r="H471" s="1">
        <v>0</v>
      </c>
      <c r="I471" s="1">
        <v>0</v>
      </c>
      <c r="J471" s="2">
        <v>0</v>
      </c>
      <c r="K471" s="1">
        <v>0</v>
      </c>
      <c r="L471" s="1">
        <v>0</v>
      </c>
      <c r="M471" s="1">
        <v>0</v>
      </c>
      <c r="N47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72" spans="1:14" x14ac:dyDescent="0.3">
      <c r="A472">
        <v>2019</v>
      </c>
      <c r="B472" t="s">
        <v>56</v>
      </c>
      <c r="C472">
        <v>5</v>
      </c>
      <c r="D472" t="s">
        <v>324</v>
      </c>
      <c r="E472">
        <v>56</v>
      </c>
      <c r="F472" t="s">
        <v>2</v>
      </c>
      <c r="G472" t="s">
        <v>13</v>
      </c>
      <c r="H472" s="1">
        <v>0</v>
      </c>
      <c r="I472" s="1">
        <v>0</v>
      </c>
      <c r="J472" s="2">
        <v>0</v>
      </c>
      <c r="K472" s="1">
        <v>0</v>
      </c>
      <c r="L472" s="1">
        <v>0</v>
      </c>
      <c r="M472" s="1">
        <v>0</v>
      </c>
      <c r="N47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73" spans="1:14" x14ac:dyDescent="0.3">
      <c r="A473">
        <v>2019</v>
      </c>
      <c r="B473" t="s">
        <v>60</v>
      </c>
      <c r="C473">
        <v>6</v>
      </c>
      <c r="D473" t="s">
        <v>325</v>
      </c>
      <c r="E473">
        <v>65</v>
      </c>
      <c r="F473" t="s">
        <v>20</v>
      </c>
      <c r="G473" t="s">
        <v>3</v>
      </c>
      <c r="H473" s="1">
        <v>64</v>
      </c>
      <c r="I473" s="1">
        <v>784</v>
      </c>
      <c r="J473" s="2">
        <v>2400</v>
      </c>
      <c r="K473" s="1">
        <v>12.25</v>
      </c>
      <c r="L473" s="1">
        <v>3.0612244897959182</v>
      </c>
      <c r="M473" s="1">
        <v>37.5</v>
      </c>
      <c r="N47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4" spans="1:14" x14ac:dyDescent="0.3">
      <c r="A474">
        <v>2019</v>
      </c>
      <c r="B474" t="s">
        <v>21</v>
      </c>
      <c r="C474">
        <v>19</v>
      </c>
      <c r="D474" t="s">
        <v>329</v>
      </c>
      <c r="E474">
        <v>316</v>
      </c>
      <c r="F474" t="s">
        <v>6</v>
      </c>
      <c r="G474" t="s">
        <v>13</v>
      </c>
      <c r="H474" s="1">
        <v>0</v>
      </c>
      <c r="I474" s="1">
        <v>0</v>
      </c>
      <c r="J474" s="2">
        <v>0</v>
      </c>
      <c r="K474" s="1">
        <v>0</v>
      </c>
      <c r="L474" s="1">
        <v>0</v>
      </c>
      <c r="M474" s="1">
        <v>0</v>
      </c>
      <c r="N47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75" spans="1:14" x14ac:dyDescent="0.3">
      <c r="A475">
        <v>2019</v>
      </c>
      <c r="B475" t="s">
        <v>23</v>
      </c>
      <c r="C475">
        <v>24</v>
      </c>
      <c r="D475" t="s">
        <v>332</v>
      </c>
      <c r="E475">
        <v>676</v>
      </c>
      <c r="F475" t="s">
        <v>25</v>
      </c>
      <c r="G475" t="s">
        <v>13</v>
      </c>
      <c r="H475" s="1">
        <v>20</v>
      </c>
      <c r="I475" s="1">
        <v>157</v>
      </c>
      <c r="J475" s="2">
        <v>252</v>
      </c>
      <c r="K475" s="1">
        <v>7.85</v>
      </c>
      <c r="L475" s="1">
        <v>1.605095541401274</v>
      </c>
      <c r="M475" s="1">
        <v>12.6</v>
      </c>
      <c r="N47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6" spans="1:14" x14ac:dyDescent="0.3">
      <c r="A476">
        <v>2019</v>
      </c>
      <c r="B476" t="s">
        <v>65</v>
      </c>
      <c r="C476">
        <v>22</v>
      </c>
      <c r="D476" t="s">
        <v>176</v>
      </c>
      <c r="E476">
        <v>647</v>
      </c>
      <c r="F476" t="s">
        <v>2</v>
      </c>
      <c r="G476" t="s">
        <v>13</v>
      </c>
      <c r="H476" s="1">
        <v>18</v>
      </c>
      <c r="I476" s="1">
        <v>446</v>
      </c>
      <c r="J476" s="2">
        <v>386</v>
      </c>
      <c r="K476" s="1">
        <v>24.777777777777779</v>
      </c>
      <c r="L476" s="1">
        <v>0.86547085201793716</v>
      </c>
      <c r="M476" s="1">
        <v>21.444444444444443</v>
      </c>
      <c r="N47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77" spans="1:14" x14ac:dyDescent="0.3">
      <c r="A477">
        <v>2019</v>
      </c>
      <c r="B477" t="s">
        <v>0</v>
      </c>
      <c r="C477">
        <v>9</v>
      </c>
      <c r="D477" t="s">
        <v>339</v>
      </c>
      <c r="E477">
        <v>129</v>
      </c>
      <c r="F477" t="s">
        <v>2</v>
      </c>
      <c r="G477" t="s">
        <v>13</v>
      </c>
      <c r="H477" s="1">
        <v>153</v>
      </c>
      <c r="I477" s="1">
        <v>2449</v>
      </c>
      <c r="J477" s="2">
        <v>3332</v>
      </c>
      <c r="K477" s="1">
        <v>16.006535947712418</v>
      </c>
      <c r="L477" s="1">
        <v>1.360555328705594</v>
      </c>
      <c r="M477" s="1">
        <v>21.777777777777779</v>
      </c>
      <c r="N47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8" spans="1:14" x14ac:dyDescent="0.3">
      <c r="A478">
        <v>2019</v>
      </c>
      <c r="B478" t="s">
        <v>0</v>
      </c>
      <c r="C478">
        <v>9</v>
      </c>
      <c r="D478" t="s">
        <v>132</v>
      </c>
      <c r="E478">
        <v>660</v>
      </c>
      <c r="F478" t="s">
        <v>2</v>
      </c>
      <c r="G478" t="s">
        <v>13</v>
      </c>
      <c r="H478" s="1">
        <v>32</v>
      </c>
      <c r="I478" s="1">
        <v>294</v>
      </c>
      <c r="J478" s="2">
        <v>561</v>
      </c>
      <c r="K478" s="1">
        <v>9.1875</v>
      </c>
      <c r="L478" s="1">
        <v>1.9081632653061225</v>
      </c>
      <c r="M478" s="1">
        <v>17.53125</v>
      </c>
      <c r="N47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79" spans="1:14" x14ac:dyDescent="0.3">
      <c r="A479">
        <v>2019</v>
      </c>
      <c r="B479" t="s">
        <v>38</v>
      </c>
      <c r="C479">
        <v>23</v>
      </c>
      <c r="D479" t="s">
        <v>343</v>
      </c>
      <c r="E479">
        <v>409</v>
      </c>
      <c r="F479" t="s">
        <v>2</v>
      </c>
      <c r="G479" t="s">
        <v>13</v>
      </c>
      <c r="H479" s="1">
        <v>67</v>
      </c>
      <c r="I479" s="1">
        <v>573</v>
      </c>
      <c r="J479" s="2">
        <v>805</v>
      </c>
      <c r="K479" s="1">
        <v>8.5522388059701484</v>
      </c>
      <c r="L479" s="1">
        <v>1.4048865619546247</v>
      </c>
      <c r="M479" s="1">
        <v>12.014925373134329</v>
      </c>
      <c r="N47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0" spans="1:14" x14ac:dyDescent="0.3">
      <c r="A480">
        <v>2019</v>
      </c>
      <c r="B480" t="s">
        <v>41</v>
      </c>
      <c r="C480">
        <v>29</v>
      </c>
      <c r="D480" t="s">
        <v>160</v>
      </c>
      <c r="E480">
        <v>528</v>
      </c>
      <c r="F480" t="s">
        <v>9</v>
      </c>
      <c r="G480" t="s">
        <v>3</v>
      </c>
      <c r="H480" s="1">
        <v>84</v>
      </c>
      <c r="I480" s="1">
        <v>1516</v>
      </c>
      <c r="J480" s="2">
        <v>3590</v>
      </c>
      <c r="K480" s="1">
        <v>18.047619047619047</v>
      </c>
      <c r="L480" s="1">
        <v>2.3680738786279685</v>
      </c>
      <c r="M480" s="1">
        <v>42.738095238095241</v>
      </c>
      <c r="N48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1" spans="1:14" x14ac:dyDescent="0.3">
      <c r="A481">
        <v>2019</v>
      </c>
      <c r="B481" t="s">
        <v>0</v>
      </c>
      <c r="C481">
        <v>9</v>
      </c>
      <c r="D481" t="s">
        <v>350</v>
      </c>
      <c r="E481">
        <v>659</v>
      </c>
      <c r="F481" t="s">
        <v>2</v>
      </c>
      <c r="G481" t="s">
        <v>13</v>
      </c>
      <c r="H481" s="1">
        <v>95</v>
      </c>
      <c r="I481" s="1">
        <v>1257</v>
      </c>
      <c r="J481" s="2">
        <v>1390</v>
      </c>
      <c r="K481" s="1">
        <v>13.231578947368421</v>
      </c>
      <c r="L481" s="1">
        <v>1.105807478122514</v>
      </c>
      <c r="M481" s="1">
        <v>14.631578947368421</v>
      </c>
      <c r="N48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2" spans="1:14" x14ac:dyDescent="0.3">
      <c r="A482">
        <v>2019</v>
      </c>
      <c r="B482" t="s">
        <v>23</v>
      </c>
      <c r="C482">
        <v>24</v>
      </c>
      <c r="D482" t="s">
        <v>178</v>
      </c>
      <c r="E482">
        <v>444</v>
      </c>
      <c r="F482" t="s">
        <v>25</v>
      </c>
      <c r="G482" t="s">
        <v>3</v>
      </c>
      <c r="H482" s="1">
        <v>7</v>
      </c>
      <c r="I482" s="1">
        <v>179</v>
      </c>
      <c r="J482" s="2">
        <v>450</v>
      </c>
      <c r="K482" s="1">
        <v>25.571428571428573</v>
      </c>
      <c r="L482" s="1">
        <v>2.5139664804469275</v>
      </c>
      <c r="M482" s="1">
        <v>64.285714285714292</v>
      </c>
      <c r="N48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3" spans="1:14" x14ac:dyDescent="0.3">
      <c r="A483">
        <v>2019</v>
      </c>
      <c r="B483" t="s">
        <v>56</v>
      </c>
      <c r="C483">
        <v>5</v>
      </c>
      <c r="D483" t="s">
        <v>191</v>
      </c>
      <c r="E483">
        <v>53</v>
      </c>
      <c r="F483" t="s">
        <v>2</v>
      </c>
      <c r="G483" t="s">
        <v>3</v>
      </c>
      <c r="H483" s="1">
        <v>24</v>
      </c>
      <c r="I483" s="1">
        <v>234</v>
      </c>
      <c r="J483" s="2">
        <v>1485</v>
      </c>
      <c r="K483" s="1">
        <v>9.75</v>
      </c>
      <c r="L483" s="1">
        <v>6.3461538461538458</v>
      </c>
      <c r="M483" s="1">
        <v>61.875</v>
      </c>
      <c r="N48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4" spans="1:14" x14ac:dyDescent="0.3">
      <c r="A484">
        <v>2019</v>
      </c>
      <c r="B484" t="s">
        <v>53</v>
      </c>
      <c r="C484">
        <v>27</v>
      </c>
      <c r="D484" t="s">
        <v>67</v>
      </c>
      <c r="E484">
        <v>475</v>
      </c>
      <c r="F484" t="s">
        <v>25</v>
      </c>
      <c r="G484" t="s">
        <v>13</v>
      </c>
      <c r="H484" s="1">
        <v>0</v>
      </c>
      <c r="I484" s="1">
        <v>0</v>
      </c>
      <c r="J484" s="2">
        <v>0</v>
      </c>
      <c r="K484" s="1">
        <v>0</v>
      </c>
      <c r="L484" s="1">
        <v>0</v>
      </c>
      <c r="M484" s="1">
        <v>0</v>
      </c>
      <c r="N48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85" spans="1:14" x14ac:dyDescent="0.3">
      <c r="A485">
        <v>2019</v>
      </c>
      <c r="B485" t="s">
        <v>0</v>
      </c>
      <c r="C485">
        <v>9</v>
      </c>
      <c r="D485" t="s">
        <v>357</v>
      </c>
      <c r="E485">
        <v>165</v>
      </c>
      <c r="F485" t="s">
        <v>2</v>
      </c>
      <c r="G485" t="s">
        <v>3</v>
      </c>
      <c r="H485" s="1">
        <v>38</v>
      </c>
      <c r="I485" s="1">
        <v>706</v>
      </c>
      <c r="J485" s="2">
        <v>2364</v>
      </c>
      <c r="K485" s="1">
        <v>18.578947368421051</v>
      </c>
      <c r="L485" s="1">
        <v>3.3484419263456089</v>
      </c>
      <c r="M485" s="1">
        <v>62.210526315789473</v>
      </c>
      <c r="N48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6" spans="1:14" x14ac:dyDescent="0.3">
      <c r="A486">
        <v>2019</v>
      </c>
      <c r="B486" t="s">
        <v>77</v>
      </c>
      <c r="C486">
        <v>8</v>
      </c>
      <c r="D486" t="s">
        <v>359</v>
      </c>
      <c r="E486">
        <v>96</v>
      </c>
      <c r="F486" t="s">
        <v>20</v>
      </c>
      <c r="G486" t="s">
        <v>27</v>
      </c>
      <c r="H486" s="1">
        <v>0</v>
      </c>
      <c r="I486" s="1">
        <v>0</v>
      </c>
      <c r="J486" s="2">
        <v>0</v>
      </c>
      <c r="K486" s="1">
        <v>0</v>
      </c>
      <c r="L486" s="1">
        <v>0</v>
      </c>
      <c r="M486" s="1">
        <v>0</v>
      </c>
      <c r="N48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87" spans="1:14" x14ac:dyDescent="0.3">
      <c r="A487">
        <v>2019</v>
      </c>
      <c r="B487" t="s">
        <v>4</v>
      </c>
      <c r="C487">
        <v>10</v>
      </c>
      <c r="D487" t="s">
        <v>362</v>
      </c>
      <c r="E487">
        <v>201</v>
      </c>
      <c r="F487" t="s">
        <v>6</v>
      </c>
      <c r="G487" t="s">
        <v>27</v>
      </c>
      <c r="H487" s="1">
        <v>0</v>
      </c>
      <c r="I487" s="1">
        <v>0</v>
      </c>
      <c r="J487" s="2">
        <v>0</v>
      </c>
      <c r="K487" s="1">
        <v>0</v>
      </c>
      <c r="L487" s="1">
        <v>0</v>
      </c>
      <c r="M487" s="1">
        <v>0</v>
      </c>
      <c r="N48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88" spans="1:14" x14ac:dyDescent="0.3">
      <c r="A488">
        <v>2019</v>
      </c>
      <c r="B488" t="s">
        <v>0</v>
      </c>
      <c r="C488">
        <v>9</v>
      </c>
      <c r="D488" t="s">
        <v>365</v>
      </c>
      <c r="E488">
        <v>166</v>
      </c>
      <c r="F488" t="s">
        <v>2</v>
      </c>
      <c r="G488" t="s">
        <v>13</v>
      </c>
      <c r="H488" s="1">
        <v>51</v>
      </c>
      <c r="I488" s="1">
        <v>829</v>
      </c>
      <c r="J488" s="2">
        <v>917</v>
      </c>
      <c r="K488" s="1">
        <v>16.254901960784313</v>
      </c>
      <c r="L488" s="1">
        <v>1.1061519903498191</v>
      </c>
      <c r="M488" s="1">
        <v>17.980392156862745</v>
      </c>
      <c r="N48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89" spans="1:14" x14ac:dyDescent="0.3">
      <c r="A489">
        <v>2019</v>
      </c>
      <c r="B489" t="s">
        <v>328</v>
      </c>
      <c r="C489">
        <v>4</v>
      </c>
      <c r="D489" t="s">
        <v>328</v>
      </c>
      <c r="E489">
        <v>44</v>
      </c>
      <c r="F489" t="s">
        <v>20</v>
      </c>
      <c r="G489" t="s">
        <v>13</v>
      </c>
      <c r="H489" s="1">
        <v>11</v>
      </c>
      <c r="I489" s="1">
        <v>109</v>
      </c>
      <c r="J489" s="2">
        <v>545</v>
      </c>
      <c r="K489" s="1">
        <v>9.9090909090909083</v>
      </c>
      <c r="L489" s="1">
        <v>5</v>
      </c>
      <c r="M489" s="1">
        <v>49.545454545454547</v>
      </c>
      <c r="N48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90" spans="1:14" x14ac:dyDescent="0.3">
      <c r="A490">
        <v>2019</v>
      </c>
      <c r="B490" t="s">
        <v>4</v>
      </c>
      <c r="C490">
        <v>10</v>
      </c>
      <c r="D490" t="s">
        <v>223</v>
      </c>
      <c r="E490">
        <v>215</v>
      </c>
      <c r="F490" t="s">
        <v>6</v>
      </c>
      <c r="G490" t="s">
        <v>13</v>
      </c>
      <c r="H490" s="1">
        <v>0</v>
      </c>
      <c r="I490" s="1">
        <v>0</v>
      </c>
      <c r="J490" s="2">
        <v>0</v>
      </c>
      <c r="K490" s="1">
        <v>0</v>
      </c>
      <c r="L490" s="1">
        <v>0</v>
      </c>
      <c r="M490" s="1">
        <v>0</v>
      </c>
      <c r="N49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91" spans="1:14" x14ac:dyDescent="0.3">
      <c r="A491">
        <v>2019</v>
      </c>
      <c r="B491" t="s">
        <v>65</v>
      </c>
      <c r="C491">
        <v>22</v>
      </c>
      <c r="D491" t="s">
        <v>372</v>
      </c>
      <c r="E491">
        <v>381</v>
      </c>
      <c r="F491" t="s">
        <v>2</v>
      </c>
      <c r="G491" t="s">
        <v>3</v>
      </c>
      <c r="H491" s="1">
        <v>29</v>
      </c>
      <c r="I491" s="1">
        <v>523</v>
      </c>
      <c r="J491" s="2">
        <v>1074</v>
      </c>
      <c r="K491" s="1">
        <v>18.03448275862069</v>
      </c>
      <c r="L491" s="1">
        <v>2.0535372848948374</v>
      </c>
      <c r="M491" s="1">
        <v>37.03448275862069</v>
      </c>
      <c r="N49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92" spans="1:14" x14ac:dyDescent="0.3">
      <c r="A492">
        <v>2019</v>
      </c>
      <c r="B492" t="s">
        <v>21</v>
      </c>
      <c r="C492">
        <v>19</v>
      </c>
      <c r="D492" t="s">
        <v>374</v>
      </c>
      <c r="E492">
        <v>307</v>
      </c>
      <c r="F492" t="s">
        <v>6</v>
      </c>
      <c r="G492" t="s">
        <v>3</v>
      </c>
      <c r="H492" s="1">
        <v>0</v>
      </c>
      <c r="I492" s="1">
        <v>0</v>
      </c>
      <c r="J492" s="2">
        <v>0</v>
      </c>
      <c r="K492" s="1">
        <v>0</v>
      </c>
      <c r="L492" s="1">
        <v>0</v>
      </c>
      <c r="M492" s="1">
        <v>0</v>
      </c>
      <c r="N492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93" spans="1:14" x14ac:dyDescent="0.3">
      <c r="A493">
        <v>2019</v>
      </c>
      <c r="B493" t="s">
        <v>0</v>
      </c>
      <c r="C493">
        <v>9</v>
      </c>
      <c r="D493" t="s">
        <v>83</v>
      </c>
      <c r="E493">
        <v>162</v>
      </c>
      <c r="F493" t="s">
        <v>2</v>
      </c>
      <c r="G493" t="s">
        <v>17</v>
      </c>
      <c r="H493" s="1">
        <v>791</v>
      </c>
      <c r="I493" s="1">
        <v>8702</v>
      </c>
      <c r="J493" s="2">
        <v>136218</v>
      </c>
      <c r="K493" s="1">
        <v>11.00126422250316</v>
      </c>
      <c r="L493" s="1">
        <v>15.65364284072627</v>
      </c>
      <c r="M493" s="1">
        <v>172.20986093552466</v>
      </c>
      <c r="N493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High</v>
      </c>
    </row>
    <row r="494" spans="1:14" x14ac:dyDescent="0.3">
      <c r="A494">
        <v>2019</v>
      </c>
      <c r="B494" t="s">
        <v>38</v>
      </c>
      <c r="C494">
        <v>23</v>
      </c>
      <c r="D494" t="s">
        <v>378</v>
      </c>
      <c r="E494">
        <v>413</v>
      </c>
      <c r="F494" t="s">
        <v>2</v>
      </c>
      <c r="G494" t="s">
        <v>13</v>
      </c>
      <c r="H494" s="1">
        <v>49</v>
      </c>
      <c r="I494" s="1">
        <v>1058</v>
      </c>
      <c r="J494" s="2">
        <v>1744</v>
      </c>
      <c r="K494" s="1">
        <v>21.591836734693878</v>
      </c>
      <c r="L494" s="1">
        <v>1.6483931947069943</v>
      </c>
      <c r="M494" s="1">
        <v>35.591836734693878</v>
      </c>
      <c r="N494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95" spans="1:14" x14ac:dyDescent="0.3">
      <c r="A495">
        <v>2019</v>
      </c>
      <c r="B495" t="s">
        <v>21</v>
      </c>
      <c r="C495">
        <v>19</v>
      </c>
      <c r="D495" t="s">
        <v>214</v>
      </c>
      <c r="E495">
        <v>312</v>
      </c>
      <c r="F495" t="s">
        <v>6</v>
      </c>
      <c r="G495" t="s">
        <v>27</v>
      </c>
      <c r="H495" s="1">
        <v>159</v>
      </c>
      <c r="I495" s="1">
        <v>2824</v>
      </c>
      <c r="J495" s="2">
        <v>20506</v>
      </c>
      <c r="K495" s="1">
        <v>17.761006289308177</v>
      </c>
      <c r="L495" s="1">
        <v>7.2613314447592066</v>
      </c>
      <c r="M495" s="1">
        <v>128.96855345911951</v>
      </c>
      <c r="N495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Medium</v>
      </c>
    </row>
    <row r="496" spans="1:14" x14ac:dyDescent="0.3">
      <c r="A496">
        <v>2019</v>
      </c>
      <c r="B496" t="s">
        <v>28</v>
      </c>
      <c r="C496">
        <v>36</v>
      </c>
      <c r="D496" t="s">
        <v>212</v>
      </c>
      <c r="E496">
        <v>683</v>
      </c>
      <c r="F496" t="s">
        <v>9</v>
      </c>
      <c r="G496" t="s">
        <v>3</v>
      </c>
      <c r="H496" s="1">
        <v>22</v>
      </c>
      <c r="I496" s="1">
        <v>404</v>
      </c>
      <c r="J496" s="2">
        <v>1416</v>
      </c>
      <c r="K496" s="1">
        <v>18.363636363636363</v>
      </c>
      <c r="L496" s="1">
        <v>3.504950495049505</v>
      </c>
      <c r="M496" s="1">
        <v>64.36363636363636</v>
      </c>
      <c r="N496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97" spans="1:14" x14ac:dyDescent="0.3">
      <c r="A497">
        <v>2019</v>
      </c>
      <c r="B497" t="s">
        <v>79</v>
      </c>
      <c r="C497">
        <v>20</v>
      </c>
      <c r="D497" t="s">
        <v>93</v>
      </c>
      <c r="E497">
        <v>332</v>
      </c>
      <c r="F497" t="s">
        <v>6</v>
      </c>
      <c r="G497" t="s">
        <v>13</v>
      </c>
      <c r="H497" s="1">
        <v>0</v>
      </c>
      <c r="I497" s="1">
        <v>0</v>
      </c>
      <c r="J497" s="2">
        <v>0</v>
      </c>
      <c r="K497" s="1">
        <v>0</v>
      </c>
      <c r="L497" s="1">
        <v>0</v>
      </c>
      <c r="M497" s="1">
        <v>0</v>
      </c>
      <c r="N497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498" spans="1:14" x14ac:dyDescent="0.3">
      <c r="A498">
        <v>2019</v>
      </c>
      <c r="B498" t="s">
        <v>21</v>
      </c>
      <c r="C498">
        <v>19</v>
      </c>
      <c r="D498" t="s">
        <v>385</v>
      </c>
      <c r="E498">
        <v>317</v>
      </c>
      <c r="F498" t="s">
        <v>6</v>
      </c>
      <c r="G498" t="s">
        <v>13</v>
      </c>
      <c r="H498" s="1">
        <v>225</v>
      </c>
      <c r="I498" s="1">
        <v>4595</v>
      </c>
      <c r="J498" s="2">
        <v>8807</v>
      </c>
      <c r="K498" s="1">
        <v>20.422222222222221</v>
      </c>
      <c r="L498" s="1">
        <v>1.9166485310119696</v>
      </c>
      <c r="M498" s="1">
        <v>39.142222222222223</v>
      </c>
      <c r="N498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499" spans="1:14" x14ac:dyDescent="0.3">
      <c r="A499">
        <v>2019</v>
      </c>
      <c r="B499" t="s">
        <v>38</v>
      </c>
      <c r="C499">
        <v>23</v>
      </c>
      <c r="D499" t="s">
        <v>371</v>
      </c>
      <c r="E499">
        <v>435</v>
      </c>
      <c r="F499" t="s">
        <v>2</v>
      </c>
      <c r="G499" t="s">
        <v>3</v>
      </c>
      <c r="H499" s="1">
        <v>0</v>
      </c>
      <c r="I499" s="1">
        <v>0</v>
      </c>
      <c r="J499" s="2">
        <v>0</v>
      </c>
      <c r="K499" s="1">
        <v>0</v>
      </c>
      <c r="L499" s="1">
        <v>0</v>
      </c>
      <c r="M499" s="1">
        <v>0</v>
      </c>
      <c r="N499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  <row r="500" spans="1:14" x14ac:dyDescent="0.3">
      <c r="A500">
        <v>2019</v>
      </c>
      <c r="B500" t="s">
        <v>0</v>
      </c>
      <c r="C500">
        <v>9</v>
      </c>
      <c r="D500" t="s">
        <v>390</v>
      </c>
      <c r="E500">
        <v>185</v>
      </c>
      <c r="F500" t="s">
        <v>2</v>
      </c>
      <c r="G500" t="s">
        <v>27</v>
      </c>
      <c r="H500" s="1">
        <v>37</v>
      </c>
      <c r="I500" s="1">
        <v>520</v>
      </c>
      <c r="J500" s="2">
        <v>3206</v>
      </c>
      <c r="K500" s="1">
        <v>14.054054054054054</v>
      </c>
      <c r="L500" s="1">
        <v>6.1653846153846157</v>
      </c>
      <c r="M500" s="1">
        <v>86.648648648648646</v>
      </c>
      <c r="N500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Low</v>
      </c>
    </row>
    <row r="501" spans="1:14" x14ac:dyDescent="0.3">
      <c r="A501">
        <v>2019</v>
      </c>
      <c r="B501" t="s">
        <v>7</v>
      </c>
      <c r="C501">
        <v>33</v>
      </c>
      <c r="D501" t="s">
        <v>391</v>
      </c>
      <c r="E501">
        <v>577</v>
      </c>
      <c r="F501" t="s">
        <v>9</v>
      </c>
      <c r="G501" t="s">
        <v>13</v>
      </c>
      <c r="H501" s="1">
        <v>0</v>
      </c>
      <c r="I501" s="1">
        <v>0</v>
      </c>
      <c r="J501" s="2">
        <v>0</v>
      </c>
      <c r="K501" s="1">
        <v>0</v>
      </c>
      <c r="L501" s="1">
        <v>0</v>
      </c>
      <c r="M501" s="1">
        <v>0</v>
      </c>
      <c r="N501" s="1" t="str">
        <f>IF(Population_group__Wise_Deposits_Sample_Data__1[[#This Row],[Deposit per account]]&lt;=1,"Very Low",IF(Population_group__Wise_Deposits_Sample_Data__1[[#This Row],[Deposit per account]]&lt;=7,"Low",IF(Population_group__Wise_Deposits_Sample_Data__1[[#This Row],[Deposit per account]]&lt;=12,"Medium","High")))</f>
        <v>Very Low</v>
      </c>
    </row>
  </sheetData>
  <dataConsolidate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6FB6-3442-49A1-AF83-7FEA9848F66C}">
  <dimension ref="A1:B35"/>
  <sheetViews>
    <sheetView workbookViewId="0">
      <selection activeCell="A3" sqref="A3"/>
    </sheetView>
  </sheetViews>
  <sheetFormatPr defaultRowHeight="14.4" x14ac:dyDescent="0.3"/>
  <cols>
    <col min="1" max="1" width="14.88671875" customWidth="1"/>
    <col min="2" max="2" width="12.33203125" customWidth="1"/>
  </cols>
  <sheetData>
    <row r="1" spans="1:2" x14ac:dyDescent="0.3">
      <c r="A1" s="8" t="s">
        <v>419</v>
      </c>
      <c r="B1" s="9" t="s">
        <v>393</v>
      </c>
    </row>
    <row r="2" spans="1:2" x14ac:dyDescent="0.3">
      <c r="A2" s="6" t="s">
        <v>4</v>
      </c>
      <c r="B2" s="7">
        <v>10</v>
      </c>
    </row>
    <row r="3" spans="1:2" x14ac:dyDescent="0.3">
      <c r="A3" s="6" t="s">
        <v>14</v>
      </c>
      <c r="B3" s="7">
        <v>21</v>
      </c>
    </row>
    <row r="4" spans="1:2" x14ac:dyDescent="0.3">
      <c r="A4" s="6" t="s">
        <v>32</v>
      </c>
      <c r="B4" s="7">
        <v>14</v>
      </c>
    </row>
    <row r="5" spans="1:2" x14ac:dyDescent="0.3">
      <c r="A5" s="6" t="s">
        <v>38</v>
      </c>
      <c r="B5" s="7">
        <v>23</v>
      </c>
    </row>
    <row r="6" spans="1:2" x14ac:dyDescent="0.3">
      <c r="A6" s="6" t="s">
        <v>58</v>
      </c>
      <c r="B6" s="7">
        <v>28</v>
      </c>
    </row>
    <row r="7" spans="1:2" x14ac:dyDescent="0.3">
      <c r="A7" s="6" t="s">
        <v>65</v>
      </c>
      <c r="B7" s="7">
        <v>22</v>
      </c>
    </row>
    <row r="8" spans="1:2" x14ac:dyDescent="0.3">
      <c r="A8" s="6" t="s">
        <v>53</v>
      </c>
      <c r="B8" s="7">
        <v>27</v>
      </c>
    </row>
    <row r="9" spans="1:2" x14ac:dyDescent="0.3">
      <c r="A9" s="6" t="s">
        <v>70</v>
      </c>
      <c r="B9" s="7">
        <v>1</v>
      </c>
    </row>
    <row r="10" spans="1:2" x14ac:dyDescent="0.3">
      <c r="A10" s="6" t="s">
        <v>79</v>
      </c>
      <c r="B10" s="7">
        <v>20</v>
      </c>
    </row>
    <row r="11" spans="1:2" x14ac:dyDescent="0.3">
      <c r="A11" s="6" t="s">
        <v>0</v>
      </c>
      <c r="B11" s="7">
        <v>9</v>
      </c>
    </row>
    <row r="12" spans="1:2" x14ac:dyDescent="0.3">
      <c r="A12" s="6" t="s">
        <v>89</v>
      </c>
      <c r="B12" s="7">
        <v>34</v>
      </c>
    </row>
    <row r="13" spans="1:2" x14ac:dyDescent="0.3">
      <c r="A13" s="6" t="s">
        <v>60</v>
      </c>
      <c r="B13" s="7">
        <v>6</v>
      </c>
    </row>
    <row r="14" spans="1:2" x14ac:dyDescent="0.3">
      <c r="A14" s="6" t="s">
        <v>30</v>
      </c>
      <c r="B14" s="7">
        <v>32</v>
      </c>
    </row>
    <row r="15" spans="1:2" x14ac:dyDescent="0.3">
      <c r="A15" s="6" t="s">
        <v>136</v>
      </c>
      <c r="B15" s="7">
        <v>15</v>
      </c>
    </row>
    <row r="16" spans="1:2" x14ac:dyDescent="0.3">
      <c r="A16" s="6" t="s">
        <v>77</v>
      </c>
      <c r="B16" s="7">
        <v>8</v>
      </c>
    </row>
    <row r="17" spans="1:2" x14ac:dyDescent="0.3">
      <c r="A17" s="6" t="s">
        <v>23</v>
      </c>
      <c r="B17" s="7">
        <v>24</v>
      </c>
    </row>
    <row r="18" spans="1:2" x14ac:dyDescent="0.3">
      <c r="A18" s="6" t="s">
        <v>10</v>
      </c>
      <c r="B18" s="7">
        <v>18</v>
      </c>
    </row>
    <row r="19" spans="1:2" x14ac:dyDescent="0.3">
      <c r="A19" s="6" t="s">
        <v>28</v>
      </c>
      <c r="B19" s="7">
        <v>36</v>
      </c>
    </row>
    <row r="20" spans="1:2" x14ac:dyDescent="0.3">
      <c r="A20" s="6" t="s">
        <v>44</v>
      </c>
      <c r="B20" s="7">
        <v>3</v>
      </c>
    </row>
    <row r="21" spans="1:2" x14ac:dyDescent="0.3">
      <c r="A21" s="6" t="s">
        <v>196</v>
      </c>
      <c r="B21" s="7">
        <v>16</v>
      </c>
    </row>
    <row r="22" spans="1:2" x14ac:dyDescent="0.3">
      <c r="A22" s="6" t="s">
        <v>7</v>
      </c>
      <c r="B22" s="7">
        <v>33</v>
      </c>
    </row>
    <row r="23" spans="1:2" x14ac:dyDescent="0.3">
      <c r="A23" s="6" t="s">
        <v>21</v>
      </c>
      <c r="B23" s="7">
        <v>19</v>
      </c>
    </row>
    <row r="24" spans="1:2" x14ac:dyDescent="0.3">
      <c r="A24" s="6" t="s">
        <v>81</v>
      </c>
      <c r="B24" s="7">
        <v>12</v>
      </c>
    </row>
    <row r="25" spans="1:2" x14ac:dyDescent="0.3">
      <c r="A25" s="6" t="s">
        <v>41</v>
      </c>
      <c r="B25" s="7">
        <v>29</v>
      </c>
    </row>
    <row r="26" spans="1:2" x14ac:dyDescent="0.3">
      <c r="A26" s="6" t="s">
        <v>274</v>
      </c>
      <c r="B26" s="7">
        <v>35</v>
      </c>
    </row>
    <row r="27" spans="1:2" x14ac:dyDescent="0.3">
      <c r="A27" s="6" t="s">
        <v>74</v>
      </c>
      <c r="B27" s="7">
        <v>13</v>
      </c>
    </row>
    <row r="28" spans="1:2" x14ac:dyDescent="0.3">
      <c r="A28" s="6" t="s">
        <v>18</v>
      </c>
      <c r="B28" s="7">
        <v>7</v>
      </c>
    </row>
    <row r="29" spans="1:2" x14ac:dyDescent="0.3">
      <c r="A29" s="6" t="s">
        <v>87</v>
      </c>
      <c r="B29" s="7">
        <v>2</v>
      </c>
    </row>
    <row r="30" spans="1:2" x14ac:dyDescent="0.3">
      <c r="A30" s="6" t="s">
        <v>63</v>
      </c>
      <c r="B30" s="7">
        <v>17</v>
      </c>
    </row>
    <row r="31" spans="1:2" x14ac:dyDescent="0.3">
      <c r="A31" s="6" t="s">
        <v>56</v>
      </c>
      <c r="B31" s="7">
        <v>5</v>
      </c>
    </row>
    <row r="32" spans="1:2" x14ac:dyDescent="0.3">
      <c r="A32" s="6" t="s">
        <v>316</v>
      </c>
      <c r="B32" s="7">
        <v>30</v>
      </c>
    </row>
    <row r="33" spans="1:2" x14ac:dyDescent="0.3">
      <c r="A33" s="6" t="s">
        <v>295</v>
      </c>
      <c r="B33" s="7">
        <v>31</v>
      </c>
    </row>
    <row r="34" spans="1:2" x14ac:dyDescent="0.3">
      <c r="A34" s="6" t="s">
        <v>328</v>
      </c>
      <c r="B34" s="7">
        <v>4</v>
      </c>
    </row>
    <row r="35" spans="1:2" x14ac:dyDescent="0.3">
      <c r="A35" s="10" t="s">
        <v>344</v>
      </c>
      <c r="B35" s="11">
        <v>11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A553-1CA2-4EFA-838C-47BF1F86A0B3}">
  <dimension ref="A1:B350"/>
  <sheetViews>
    <sheetView workbookViewId="0">
      <selection activeCell="A10" sqref="A10"/>
    </sheetView>
  </sheetViews>
  <sheetFormatPr defaultRowHeight="14.4" x14ac:dyDescent="0.3"/>
  <cols>
    <col min="1" max="1" width="19.5546875" customWidth="1"/>
    <col min="2" max="2" width="14.109375" customWidth="1"/>
  </cols>
  <sheetData>
    <row r="1" spans="1:2" x14ac:dyDescent="0.3">
      <c r="A1" s="8" t="s">
        <v>394</v>
      </c>
      <c r="B1" s="9" t="s">
        <v>395</v>
      </c>
    </row>
    <row r="2" spans="1:2" x14ac:dyDescent="0.3">
      <c r="A2" s="6" t="s">
        <v>5</v>
      </c>
      <c r="B2" s="7">
        <v>203</v>
      </c>
    </row>
    <row r="3" spans="1:2" x14ac:dyDescent="0.3">
      <c r="A3" s="6" t="s">
        <v>15</v>
      </c>
      <c r="B3" s="7">
        <v>346</v>
      </c>
    </row>
    <row r="4" spans="1:2" x14ac:dyDescent="0.3">
      <c r="A4" s="6" t="s">
        <v>33</v>
      </c>
      <c r="B4" s="7">
        <v>259</v>
      </c>
    </row>
    <row r="5" spans="1:2" x14ac:dyDescent="0.3">
      <c r="A5" s="6" t="s">
        <v>37</v>
      </c>
      <c r="B5" s="7">
        <v>369</v>
      </c>
    </row>
    <row r="6" spans="1:2" x14ac:dyDescent="0.3">
      <c r="A6" s="6" t="s">
        <v>39</v>
      </c>
      <c r="B6" s="7">
        <v>426</v>
      </c>
    </row>
    <row r="7" spans="1:2" x14ac:dyDescent="0.3">
      <c r="A7" s="6" t="s">
        <v>47</v>
      </c>
      <c r="B7" s="7">
        <v>432</v>
      </c>
    </row>
    <row r="8" spans="1:2" x14ac:dyDescent="0.3">
      <c r="A8" s="6" t="s">
        <v>59</v>
      </c>
      <c r="B8" s="7">
        <v>520</v>
      </c>
    </row>
    <row r="9" spans="1:2" x14ac:dyDescent="0.3">
      <c r="A9" s="6" t="s">
        <v>66</v>
      </c>
      <c r="B9" s="7">
        <v>645</v>
      </c>
    </row>
    <row r="10" spans="1:2" x14ac:dyDescent="0.3">
      <c r="A10" s="6" t="s">
        <v>67</v>
      </c>
      <c r="B10" s="7">
        <v>475</v>
      </c>
    </row>
    <row r="11" spans="1:2" x14ac:dyDescent="0.3">
      <c r="A11" s="6" t="s">
        <v>71</v>
      </c>
      <c r="B11" s="7">
        <v>4</v>
      </c>
    </row>
    <row r="12" spans="1:2" x14ac:dyDescent="0.3">
      <c r="A12" s="6" t="s">
        <v>80</v>
      </c>
      <c r="B12" s="7">
        <v>339</v>
      </c>
    </row>
    <row r="13" spans="1:2" x14ac:dyDescent="0.3">
      <c r="A13" s="6" t="s">
        <v>83</v>
      </c>
      <c r="B13" s="7">
        <v>162</v>
      </c>
    </row>
    <row r="14" spans="1:2" x14ac:dyDescent="0.3">
      <c r="A14" s="6" t="s">
        <v>84</v>
      </c>
      <c r="B14" s="7">
        <v>176</v>
      </c>
    </row>
    <row r="15" spans="1:2" x14ac:dyDescent="0.3">
      <c r="A15" s="6" t="s">
        <v>90</v>
      </c>
      <c r="B15" s="7">
        <v>601</v>
      </c>
    </row>
    <row r="16" spans="1:2" x14ac:dyDescent="0.3">
      <c r="A16" s="6" t="s">
        <v>92</v>
      </c>
      <c r="B16" s="7">
        <v>151</v>
      </c>
    </row>
    <row r="17" spans="1:2" x14ac:dyDescent="0.3">
      <c r="A17" s="6" t="s">
        <v>96</v>
      </c>
      <c r="B17" s="7">
        <v>145</v>
      </c>
    </row>
    <row r="18" spans="1:2" x14ac:dyDescent="0.3">
      <c r="A18" s="6" t="s">
        <v>100</v>
      </c>
      <c r="B18" s="7">
        <v>354</v>
      </c>
    </row>
    <row r="19" spans="1:2" x14ac:dyDescent="0.3">
      <c r="A19" s="6" t="s">
        <v>103</v>
      </c>
      <c r="B19" s="7">
        <v>74</v>
      </c>
    </row>
    <row r="20" spans="1:2" x14ac:dyDescent="0.3">
      <c r="A20" s="6" t="s">
        <v>106</v>
      </c>
      <c r="B20" s="7">
        <v>565</v>
      </c>
    </row>
    <row r="21" spans="1:2" x14ac:dyDescent="0.3">
      <c r="A21" s="6" t="s">
        <v>107</v>
      </c>
      <c r="B21" s="7">
        <v>510</v>
      </c>
    </row>
    <row r="22" spans="1:2" x14ac:dyDescent="0.3">
      <c r="A22" s="6" t="s">
        <v>112</v>
      </c>
      <c r="B22" s="7">
        <v>503</v>
      </c>
    </row>
    <row r="23" spans="1:2" x14ac:dyDescent="0.3">
      <c r="A23" s="6" t="s">
        <v>119</v>
      </c>
      <c r="B23" s="7">
        <v>490</v>
      </c>
    </row>
    <row r="24" spans="1:2" x14ac:dyDescent="0.3">
      <c r="A24" s="6" t="s">
        <v>134</v>
      </c>
      <c r="B24" s="7">
        <v>564</v>
      </c>
    </row>
    <row r="25" spans="1:2" x14ac:dyDescent="0.3">
      <c r="A25" s="6" t="s">
        <v>137</v>
      </c>
      <c r="B25" s="7">
        <v>264</v>
      </c>
    </row>
    <row r="26" spans="1:2" x14ac:dyDescent="0.3">
      <c r="A26" s="6" t="s">
        <v>141</v>
      </c>
      <c r="B26" s="7">
        <v>88</v>
      </c>
    </row>
    <row r="27" spans="1:2" x14ac:dyDescent="0.3">
      <c r="A27" s="6" t="s">
        <v>142</v>
      </c>
      <c r="B27" s="7">
        <v>171</v>
      </c>
    </row>
    <row r="28" spans="1:2" x14ac:dyDescent="0.3">
      <c r="A28" s="6" t="s">
        <v>143</v>
      </c>
      <c r="B28" s="7">
        <v>219</v>
      </c>
    </row>
    <row r="29" spans="1:2" x14ac:dyDescent="0.3">
      <c r="A29" s="6" t="s">
        <v>26</v>
      </c>
      <c r="B29" s="7">
        <v>451</v>
      </c>
    </row>
    <row r="30" spans="1:2" x14ac:dyDescent="0.3">
      <c r="A30" s="6" t="s">
        <v>153</v>
      </c>
      <c r="B30" s="7">
        <v>212</v>
      </c>
    </row>
    <row r="31" spans="1:2" x14ac:dyDescent="0.3">
      <c r="A31" s="6" t="s">
        <v>157</v>
      </c>
      <c r="B31" s="7">
        <v>123</v>
      </c>
    </row>
    <row r="32" spans="1:2" x14ac:dyDescent="0.3">
      <c r="A32" s="6" t="s">
        <v>159</v>
      </c>
      <c r="B32" s="7">
        <v>517</v>
      </c>
    </row>
    <row r="33" spans="1:2" x14ac:dyDescent="0.3">
      <c r="A33" s="6" t="s">
        <v>162</v>
      </c>
      <c r="B33" s="7">
        <v>296</v>
      </c>
    </row>
    <row r="34" spans="1:2" x14ac:dyDescent="0.3">
      <c r="A34" s="6" t="s">
        <v>163</v>
      </c>
      <c r="B34" s="7">
        <v>159</v>
      </c>
    </row>
    <row r="35" spans="1:2" x14ac:dyDescent="0.3">
      <c r="A35" s="6" t="s">
        <v>164</v>
      </c>
      <c r="B35" s="7">
        <v>695</v>
      </c>
    </row>
    <row r="36" spans="1:2" x14ac:dyDescent="0.3">
      <c r="A36" s="6" t="s">
        <v>122</v>
      </c>
      <c r="B36" s="7">
        <v>27</v>
      </c>
    </row>
    <row r="37" spans="1:2" x14ac:dyDescent="0.3">
      <c r="A37" s="6" t="s">
        <v>173</v>
      </c>
      <c r="B37" s="7">
        <v>36</v>
      </c>
    </row>
    <row r="38" spans="1:2" x14ac:dyDescent="0.3">
      <c r="A38" s="6" t="s">
        <v>175</v>
      </c>
      <c r="B38" s="7">
        <v>456</v>
      </c>
    </row>
    <row r="39" spans="1:2" x14ac:dyDescent="0.3">
      <c r="A39" s="6" t="s">
        <v>189</v>
      </c>
      <c r="B39" s="7">
        <v>110</v>
      </c>
    </row>
    <row r="40" spans="1:2" x14ac:dyDescent="0.3">
      <c r="A40" s="6" t="s">
        <v>195</v>
      </c>
      <c r="B40" s="7">
        <v>136</v>
      </c>
    </row>
    <row r="41" spans="1:2" x14ac:dyDescent="0.3">
      <c r="A41" s="6" t="s">
        <v>197</v>
      </c>
      <c r="B41" s="7">
        <v>270</v>
      </c>
    </row>
    <row r="42" spans="1:2" x14ac:dyDescent="0.3">
      <c r="A42" s="6" t="s">
        <v>199</v>
      </c>
      <c r="B42" s="7">
        <v>568</v>
      </c>
    </row>
    <row r="43" spans="1:2" x14ac:dyDescent="0.3">
      <c r="A43" s="6" t="s">
        <v>201</v>
      </c>
      <c r="B43" s="7">
        <v>218</v>
      </c>
    </row>
    <row r="44" spans="1:2" x14ac:dyDescent="0.3">
      <c r="A44" s="6" t="s">
        <v>205</v>
      </c>
      <c r="B44" s="7">
        <v>443</v>
      </c>
    </row>
    <row r="45" spans="1:2" x14ac:dyDescent="0.3">
      <c r="A45" s="6" t="s">
        <v>193</v>
      </c>
      <c r="B45" s="7">
        <v>514</v>
      </c>
    </row>
    <row r="46" spans="1:2" x14ac:dyDescent="0.3">
      <c r="A46" s="6" t="s">
        <v>212</v>
      </c>
      <c r="B46" s="7">
        <v>683</v>
      </c>
    </row>
    <row r="47" spans="1:2" x14ac:dyDescent="0.3">
      <c r="A47" s="6" t="s">
        <v>123</v>
      </c>
      <c r="B47" s="7">
        <v>417</v>
      </c>
    </row>
    <row r="48" spans="1:2" x14ac:dyDescent="0.3">
      <c r="A48" s="6" t="s">
        <v>224</v>
      </c>
      <c r="B48" s="7">
        <v>308</v>
      </c>
    </row>
    <row r="49" spans="1:2" x14ac:dyDescent="0.3">
      <c r="A49" s="6" t="s">
        <v>225</v>
      </c>
      <c r="B49" s="7">
        <v>519</v>
      </c>
    </row>
    <row r="50" spans="1:2" x14ac:dyDescent="0.3">
      <c r="A50" s="6" t="s">
        <v>46</v>
      </c>
      <c r="B50" s="7">
        <v>563</v>
      </c>
    </row>
    <row r="51" spans="1:2" x14ac:dyDescent="0.3">
      <c r="A51" s="6" t="s">
        <v>114</v>
      </c>
      <c r="B51" s="7">
        <v>694</v>
      </c>
    </row>
    <row r="52" spans="1:2" x14ac:dyDescent="0.3">
      <c r="A52" s="6" t="s">
        <v>170</v>
      </c>
      <c r="B52" s="7">
        <v>240</v>
      </c>
    </row>
    <row r="53" spans="1:2" x14ac:dyDescent="0.3">
      <c r="A53" s="6" t="s">
        <v>243</v>
      </c>
      <c r="B53" s="7">
        <v>548</v>
      </c>
    </row>
    <row r="54" spans="1:2" x14ac:dyDescent="0.3">
      <c r="A54" s="6" t="s">
        <v>244</v>
      </c>
      <c r="B54" s="7">
        <v>344</v>
      </c>
    </row>
    <row r="55" spans="1:2" x14ac:dyDescent="0.3">
      <c r="A55" s="6" t="s">
        <v>246</v>
      </c>
      <c r="B55" s="7">
        <v>681</v>
      </c>
    </row>
    <row r="56" spans="1:2" x14ac:dyDescent="0.3">
      <c r="A56" s="6" t="s">
        <v>256</v>
      </c>
      <c r="B56" s="7">
        <v>267</v>
      </c>
    </row>
    <row r="57" spans="1:2" x14ac:dyDescent="0.3">
      <c r="A57" s="6" t="s">
        <v>258</v>
      </c>
      <c r="B57" s="7">
        <v>41</v>
      </c>
    </row>
    <row r="58" spans="1:2" x14ac:dyDescent="0.3">
      <c r="A58" s="6" t="s">
        <v>262</v>
      </c>
      <c r="B58" s="7">
        <v>722</v>
      </c>
    </row>
    <row r="59" spans="1:2" x14ac:dyDescent="0.3">
      <c r="A59" s="6" t="s">
        <v>264</v>
      </c>
      <c r="B59" s="7">
        <v>152</v>
      </c>
    </row>
    <row r="60" spans="1:2" x14ac:dyDescent="0.3">
      <c r="A60" s="6" t="s">
        <v>140</v>
      </c>
      <c r="B60" s="7">
        <v>509</v>
      </c>
    </row>
    <row r="61" spans="1:2" x14ac:dyDescent="0.3">
      <c r="A61" s="6" t="s">
        <v>275</v>
      </c>
      <c r="B61" s="7">
        <v>602</v>
      </c>
    </row>
    <row r="62" spans="1:2" x14ac:dyDescent="0.3">
      <c r="A62" s="6" t="s">
        <v>229</v>
      </c>
      <c r="B62" s="7">
        <v>461</v>
      </c>
    </row>
    <row r="63" spans="1:2" x14ac:dyDescent="0.3">
      <c r="A63" s="6" t="s">
        <v>279</v>
      </c>
      <c r="B63" s="7">
        <v>115</v>
      </c>
    </row>
    <row r="64" spans="1:2" x14ac:dyDescent="0.3">
      <c r="A64" s="6" t="s">
        <v>29</v>
      </c>
      <c r="B64" s="7">
        <v>522</v>
      </c>
    </row>
    <row r="65" spans="1:2" x14ac:dyDescent="0.3">
      <c r="A65" s="6" t="s">
        <v>290</v>
      </c>
      <c r="B65" s="7">
        <v>502</v>
      </c>
    </row>
    <row r="66" spans="1:2" x14ac:dyDescent="0.3">
      <c r="A66" s="6" t="s">
        <v>291</v>
      </c>
      <c r="B66" s="7">
        <v>595</v>
      </c>
    </row>
    <row r="67" spans="1:2" x14ac:dyDescent="0.3">
      <c r="A67" s="6" t="s">
        <v>288</v>
      </c>
      <c r="B67" s="7">
        <v>320</v>
      </c>
    </row>
    <row r="68" spans="1:2" x14ac:dyDescent="0.3">
      <c r="A68" s="6" t="s">
        <v>42</v>
      </c>
      <c r="B68" s="7">
        <v>543</v>
      </c>
    </row>
    <row r="69" spans="1:2" x14ac:dyDescent="0.3">
      <c r="A69" s="6" t="s">
        <v>302</v>
      </c>
      <c r="B69" s="7">
        <v>562</v>
      </c>
    </row>
    <row r="70" spans="1:2" x14ac:dyDescent="0.3">
      <c r="A70" s="6" t="s">
        <v>128</v>
      </c>
      <c r="B70" s="7">
        <v>664</v>
      </c>
    </row>
    <row r="71" spans="1:2" x14ac:dyDescent="0.3">
      <c r="A71" s="6" t="s">
        <v>308</v>
      </c>
      <c r="B71" s="7">
        <v>60</v>
      </c>
    </row>
    <row r="72" spans="1:2" x14ac:dyDescent="0.3">
      <c r="A72" s="6" t="s">
        <v>130</v>
      </c>
      <c r="B72" s="7">
        <v>720</v>
      </c>
    </row>
    <row r="73" spans="1:2" x14ac:dyDescent="0.3">
      <c r="A73" s="6" t="s">
        <v>237</v>
      </c>
      <c r="B73" s="7">
        <v>209</v>
      </c>
    </row>
    <row r="74" spans="1:2" x14ac:dyDescent="0.3">
      <c r="A74" s="6" t="s">
        <v>314</v>
      </c>
      <c r="B74" s="7">
        <v>293</v>
      </c>
    </row>
    <row r="75" spans="1:2" x14ac:dyDescent="0.3">
      <c r="A75" s="6" t="s">
        <v>318</v>
      </c>
      <c r="B75" s="7">
        <v>207</v>
      </c>
    </row>
    <row r="76" spans="1:2" x14ac:dyDescent="0.3">
      <c r="A76" s="6" t="s">
        <v>55</v>
      </c>
      <c r="B76" s="7">
        <v>685</v>
      </c>
    </row>
    <row r="77" spans="1:2" x14ac:dyDescent="0.3">
      <c r="A77" s="6" t="s">
        <v>330</v>
      </c>
      <c r="B77" s="7">
        <v>732</v>
      </c>
    </row>
    <row r="78" spans="1:2" x14ac:dyDescent="0.3">
      <c r="A78" s="6" t="s">
        <v>331</v>
      </c>
      <c r="B78" s="7">
        <v>351</v>
      </c>
    </row>
    <row r="79" spans="1:2" x14ac:dyDescent="0.3">
      <c r="A79" s="6" t="s">
        <v>334</v>
      </c>
      <c r="B79" s="7">
        <v>648</v>
      </c>
    </row>
    <row r="80" spans="1:2" x14ac:dyDescent="0.3">
      <c r="A80" s="6" t="s">
        <v>335</v>
      </c>
      <c r="B80" s="7">
        <v>392</v>
      </c>
    </row>
    <row r="81" spans="1:2" x14ac:dyDescent="0.3">
      <c r="A81" s="6" t="s">
        <v>340</v>
      </c>
      <c r="B81" s="7">
        <v>210</v>
      </c>
    </row>
    <row r="82" spans="1:2" x14ac:dyDescent="0.3">
      <c r="A82" s="6" t="s">
        <v>315</v>
      </c>
      <c r="B82" s="7">
        <v>478</v>
      </c>
    </row>
    <row r="83" spans="1:2" x14ac:dyDescent="0.3">
      <c r="A83" s="6" t="s">
        <v>176</v>
      </c>
      <c r="B83" s="7">
        <v>647</v>
      </c>
    </row>
    <row r="84" spans="1:2" x14ac:dyDescent="0.3">
      <c r="A84" s="6" t="s">
        <v>341</v>
      </c>
      <c r="B84" s="7">
        <v>380</v>
      </c>
    </row>
    <row r="85" spans="1:2" x14ac:dyDescent="0.3">
      <c r="A85" s="6" t="s">
        <v>342</v>
      </c>
      <c r="B85" s="7">
        <v>255</v>
      </c>
    </row>
    <row r="86" spans="1:2" x14ac:dyDescent="0.3">
      <c r="A86" s="6" t="s">
        <v>336</v>
      </c>
      <c r="B86" s="7">
        <v>246</v>
      </c>
    </row>
    <row r="87" spans="1:2" x14ac:dyDescent="0.3">
      <c r="A87" s="6" t="s">
        <v>333</v>
      </c>
      <c r="B87" s="7">
        <v>593</v>
      </c>
    </row>
    <row r="88" spans="1:2" x14ac:dyDescent="0.3">
      <c r="A88" s="6" t="s">
        <v>95</v>
      </c>
      <c r="B88" s="7">
        <v>305</v>
      </c>
    </row>
    <row r="89" spans="1:2" x14ac:dyDescent="0.3">
      <c r="A89" s="6" t="s">
        <v>351</v>
      </c>
      <c r="B89" s="7">
        <v>486</v>
      </c>
    </row>
    <row r="90" spans="1:2" x14ac:dyDescent="0.3">
      <c r="A90" s="6" t="s">
        <v>72</v>
      </c>
      <c r="B90" s="7">
        <v>569</v>
      </c>
    </row>
    <row r="91" spans="1:2" x14ac:dyDescent="0.3">
      <c r="A91" s="6" t="s">
        <v>184</v>
      </c>
      <c r="B91" s="7">
        <v>596</v>
      </c>
    </row>
    <row r="92" spans="1:2" x14ac:dyDescent="0.3">
      <c r="A92" s="6" t="s">
        <v>355</v>
      </c>
      <c r="B92" s="7">
        <v>698</v>
      </c>
    </row>
    <row r="93" spans="1:2" x14ac:dyDescent="0.3">
      <c r="A93" s="6" t="s">
        <v>356</v>
      </c>
      <c r="B93" s="7">
        <v>62</v>
      </c>
    </row>
    <row r="94" spans="1:2" x14ac:dyDescent="0.3">
      <c r="A94" s="6" t="s">
        <v>358</v>
      </c>
      <c r="B94" s="7">
        <v>194</v>
      </c>
    </row>
    <row r="95" spans="1:2" x14ac:dyDescent="0.3">
      <c r="A95" s="6" t="s">
        <v>219</v>
      </c>
      <c r="B95" s="7">
        <v>345</v>
      </c>
    </row>
    <row r="96" spans="1:2" x14ac:dyDescent="0.3">
      <c r="A96" s="6" t="s">
        <v>361</v>
      </c>
      <c r="B96" s="7">
        <v>592</v>
      </c>
    </row>
    <row r="97" spans="1:2" x14ac:dyDescent="0.3">
      <c r="A97" s="6" t="s">
        <v>273</v>
      </c>
      <c r="B97" s="7">
        <v>734</v>
      </c>
    </row>
    <row r="98" spans="1:2" x14ac:dyDescent="0.3">
      <c r="A98" s="6" t="s">
        <v>19</v>
      </c>
      <c r="B98" s="7">
        <v>82</v>
      </c>
    </row>
    <row r="99" spans="1:2" x14ac:dyDescent="0.3">
      <c r="A99" s="6" t="s">
        <v>366</v>
      </c>
      <c r="B99" s="7">
        <v>626</v>
      </c>
    </row>
    <row r="100" spans="1:2" x14ac:dyDescent="0.3">
      <c r="A100" s="6" t="s">
        <v>368</v>
      </c>
      <c r="B100" s="7">
        <v>71</v>
      </c>
    </row>
    <row r="101" spans="1:2" x14ac:dyDescent="0.3">
      <c r="A101" s="6" t="s">
        <v>370</v>
      </c>
      <c r="B101" s="7">
        <v>137</v>
      </c>
    </row>
    <row r="102" spans="1:2" x14ac:dyDescent="0.3">
      <c r="A102" s="6" t="s">
        <v>228</v>
      </c>
      <c r="B102" s="7">
        <v>420</v>
      </c>
    </row>
    <row r="103" spans="1:2" x14ac:dyDescent="0.3">
      <c r="A103" s="6" t="s">
        <v>171</v>
      </c>
      <c r="B103" s="7">
        <v>148</v>
      </c>
    </row>
    <row r="104" spans="1:2" x14ac:dyDescent="0.3">
      <c r="A104" s="6" t="s">
        <v>286</v>
      </c>
      <c r="B104" s="7">
        <v>636</v>
      </c>
    </row>
    <row r="105" spans="1:2" x14ac:dyDescent="0.3">
      <c r="A105" s="6" t="s">
        <v>292</v>
      </c>
      <c r="B105" s="7">
        <v>5</v>
      </c>
    </row>
    <row r="106" spans="1:2" x14ac:dyDescent="0.3">
      <c r="A106" s="6" t="s">
        <v>379</v>
      </c>
      <c r="B106" s="7">
        <v>327</v>
      </c>
    </row>
    <row r="107" spans="1:2" x14ac:dyDescent="0.3">
      <c r="A107" s="6" t="s">
        <v>382</v>
      </c>
      <c r="B107" s="7">
        <v>704</v>
      </c>
    </row>
    <row r="108" spans="1:2" x14ac:dyDescent="0.3">
      <c r="A108" s="6" t="s">
        <v>139</v>
      </c>
      <c r="B108" s="7">
        <v>190</v>
      </c>
    </row>
    <row r="109" spans="1:2" x14ac:dyDescent="0.3">
      <c r="A109" s="6" t="s">
        <v>301</v>
      </c>
      <c r="B109" s="7">
        <v>649</v>
      </c>
    </row>
    <row r="110" spans="1:2" x14ac:dyDescent="0.3">
      <c r="A110" s="6" t="s">
        <v>389</v>
      </c>
      <c r="B110" s="7">
        <v>113</v>
      </c>
    </row>
    <row r="111" spans="1:2" x14ac:dyDescent="0.3">
      <c r="A111" s="6" t="s">
        <v>88</v>
      </c>
      <c r="B111" s="7">
        <v>21</v>
      </c>
    </row>
    <row r="112" spans="1:2" x14ac:dyDescent="0.3">
      <c r="A112" s="6" t="s">
        <v>285</v>
      </c>
      <c r="B112" s="7">
        <v>237</v>
      </c>
    </row>
    <row r="113" spans="1:2" x14ac:dyDescent="0.3">
      <c r="A113" s="6" t="s">
        <v>8</v>
      </c>
      <c r="B113" s="7">
        <v>729</v>
      </c>
    </row>
    <row r="114" spans="1:2" x14ac:dyDescent="0.3">
      <c r="A114" s="6" t="s">
        <v>16</v>
      </c>
      <c r="B114" s="7">
        <v>157</v>
      </c>
    </row>
    <row r="115" spans="1:2" x14ac:dyDescent="0.3">
      <c r="A115" s="6" t="s">
        <v>22</v>
      </c>
      <c r="B115" s="7">
        <v>319</v>
      </c>
    </row>
    <row r="116" spans="1:2" x14ac:dyDescent="0.3">
      <c r="A116" s="6" t="s">
        <v>36</v>
      </c>
      <c r="B116" s="7">
        <v>170</v>
      </c>
    </row>
    <row r="117" spans="1:2" x14ac:dyDescent="0.3">
      <c r="A117" s="6" t="s">
        <v>49</v>
      </c>
      <c r="B117" s="7">
        <v>121</v>
      </c>
    </row>
    <row r="118" spans="1:2" x14ac:dyDescent="0.3">
      <c r="A118" s="6" t="s">
        <v>54</v>
      </c>
      <c r="B118" s="7">
        <v>474</v>
      </c>
    </row>
    <row r="119" spans="1:2" x14ac:dyDescent="0.3">
      <c r="A119" s="6" t="s">
        <v>64</v>
      </c>
      <c r="B119" s="7">
        <v>273</v>
      </c>
    </row>
    <row r="120" spans="1:2" x14ac:dyDescent="0.3">
      <c r="A120" s="6" t="s">
        <v>75</v>
      </c>
      <c r="B120" s="7">
        <v>245</v>
      </c>
    </row>
    <row r="121" spans="1:2" x14ac:dyDescent="0.3">
      <c r="A121" s="6" t="s">
        <v>82</v>
      </c>
      <c r="B121" s="7">
        <v>241</v>
      </c>
    </row>
    <row r="122" spans="1:2" x14ac:dyDescent="0.3">
      <c r="A122" s="6" t="s">
        <v>85</v>
      </c>
      <c r="B122" s="7">
        <v>484</v>
      </c>
    </row>
    <row r="123" spans="1:2" x14ac:dyDescent="0.3">
      <c r="A123" s="6" t="s">
        <v>86</v>
      </c>
      <c r="B123" s="7">
        <v>446</v>
      </c>
    </row>
    <row r="124" spans="1:2" x14ac:dyDescent="0.3">
      <c r="A124" s="6" t="s">
        <v>93</v>
      </c>
      <c r="B124" s="7">
        <v>332</v>
      </c>
    </row>
    <row r="125" spans="1:2" x14ac:dyDescent="0.3">
      <c r="A125" s="6" t="s">
        <v>97</v>
      </c>
      <c r="B125" s="7">
        <v>23</v>
      </c>
    </row>
    <row r="126" spans="1:2" x14ac:dyDescent="0.3">
      <c r="A126" s="6" t="s">
        <v>101</v>
      </c>
      <c r="B126" s="7">
        <v>356</v>
      </c>
    </row>
    <row r="127" spans="1:2" x14ac:dyDescent="0.3">
      <c r="A127" s="6" t="s">
        <v>102</v>
      </c>
      <c r="B127" s="7">
        <v>125</v>
      </c>
    </row>
    <row r="128" spans="1:2" x14ac:dyDescent="0.3">
      <c r="A128" s="6" t="s">
        <v>104</v>
      </c>
      <c r="B128" s="7">
        <v>311</v>
      </c>
    </row>
    <row r="129" spans="1:2" x14ac:dyDescent="0.3">
      <c r="A129" s="6" t="s">
        <v>105</v>
      </c>
      <c r="B129" s="7">
        <v>101</v>
      </c>
    </row>
    <row r="130" spans="1:2" x14ac:dyDescent="0.3">
      <c r="A130" s="6" t="s">
        <v>108</v>
      </c>
      <c r="B130" s="7">
        <v>50</v>
      </c>
    </row>
    <row r="131" spans="1:2" x14ac:dyDescent="0.3">
      <c r="A131" s="6" t="s">
        <v>111</v>
      </c>
      <c r="B131" s="7">
        <v>163</v>
      </c>
    </row>
    <row r="132" spans="1:2" x14ac:dyDescent="0.3">
      <c r="A132" s="6" t="s">
        <v>120</v>
      </c>
      <c r="B132" s="7">
        <v>97</v>
      </c>
    </row>
    <row r="133" spans="1:2" x14ac:dyDescent="0.3">
      <c r="A133" s="6" t="s">
        <v>121</v>
      </c>
      <c r="B133" s="7">
        <v>111</v>
      </c>
    </row>
    <row r="134" spans="1:2" x14ac:dyDescent="0.3">
      <c r="A134" s="6" t="s">
        <v>124</v>
      </c>
      <c r="B134" s="7">
        <v>379</v>
      </c>
    </row>
    <row r="135" spans="1:2" x14ac:dyDescent="0.3">
      <c r="A135" s="6" t="s">
        <v>135</v>
      </c>
      <c r="B135" s="7">
        <v>518</v>
      </c>
    </row>
    <row r="136" spans="1:2" x14ac:dyDescent="0.3">
      <c r="A136" s="6" t="s">
        <v>138</v>
      </c>
      <c r="B136" s="7">
        <v>87</v>
      </c>
    </row>
    <row r="137" spans="1:2" x14ac:dyDescent="0.3">
      <c r="A137" s="6" t="s">
        <v>150</v>
      </c>
      <c r="B137" s="7">
        <v>224</v>
      </c>
    </row>
    <row r="138" spans="1:2" x14ac:dyDescent="0.3">
      <c r="A138" s="6" t="s">
        <v>152</v>
      </c>
      <c r="B138" s="7">
        <v>576</v>
      </c>
    </row>
    <row r="139" spans="1:2" x14ac:dyDescent="0.3">
      <c r="A139" s="6" t="s">
        <v>154</v>
      </c>
      <c r="B139" s="7">
        <v>291</v>
      </c>
    </row>
    <row r="140" spans="1:2" x14ac:dyDescent="0.3">
      <c r="A140" s="6" t="s">
        <v>156</v>
      </c>
      <c r="B140" s="7">
        <v>86</v>
      </c>
    </row>
    <row r="141" spans="1:2" x14ac:dyDescent="0.3">
      <c r="A141" s="6" t="s">
        <v>158</v>
      </c>
      <c r="B141" s="7">
        <v>275</v>
      </c>
    </row>
    <row r="142" spans="1:2" x14ac:dyDescent="0.3">
      <c r="A142" s="6" t="s">
        <v>165</v>
      </c>
      <c r="B142" s="7">
        <v>549</v>
      </c>
    </row>
    <row r="143" spans="1:2" x14ac:dyDescent="0.3">
      <c r="A143" s="6" t="s">
        <v>166</v>
      </c>
      <c r="B143" s="7">
        <v>117</v>
      </c>
    </row>
    <row r="144" spans="1:2" x14ac:dyDescent="0.3">
      <c r="A144" s="6" t="s">
        <v>167</v>
      </c>
      <c r="B144" s="7">
        <v>692</v>
      </c>
    </row>
    <row r="145" spans="1:2" x14ac:dyDescent="0.3">
      <c r="A145" s="6" t="s">
        <v>174</v>
      </c>
      <c r="B145" s="7">
        <v>122</v>
      </c>
    </row>
    <row r="146" spans="1:2" x14ac:dyDescent="0.3">
      <c r="A146" s="6" t="s">
        <v>177</v>
      </c>
      <c r="B146" s="7">
        <v>314</v>
      </c>
    </row>
    <row r="147" spans="1:2" x14ac:dyDescent="0.3">
      <c r="A147" s="6" t="s">
        <v>185</v>
      </c>
      <c r="B147" s="7">
        <v>666</v>
      </c>
    </row>
    <row r="148" spans="1:2" x14ac:dyDescent="0.3">
      <c r="A148" s="6" t="s">
        <v>188</v>
      </c>
      <c r="B148" s="7">
        <v>183</v>
      </c>
    </row>
    <row r="149" spans="1:2" x14ac:dyDescent="0.3">
      <c r="A149" s="6" t="s">
        <v>190</v>
      </c>
      <c r="B149" s="7">
        <v>404</v>
      </c>
    </row>
    <row r="150" spans="1:2" x14ac:dyDescent="0.3">
      <c r="A150" s="6" t="s">
        <v>192</v>
      </c>
      <c r="B150" s="7">
        <v>705</v>
      </c>
    </row>
    <row r="151" spans="1:2" x14ac:dyDescent="0.3">
      <c r="A151" s="6" t="s">
        <v>200</v>
      </c>
      <c r="B151" s="7">
        <v>7</v>
      </c>
    </row>
    <row r="152" spans="1:2" x14ac:dyDescent="0.3">
      <c r="A152" s="6" t="s">
        <v>204</v>
      </c>
      <c r="B152" s="7">
        <v>574</v>
      </c>
    </row>
    <row r="153" spans="1:2" x14ac:dyDescent="0.3">
      <c r="A153" s="6" t="s">
        <v>210</v>
      </c>
      <c r="B153" s="7">
        <v>98</v>
      </c>
    </row>
    <row r="154" spans="1:2" x14ac:dyDescent="0.3">
      <c r="A154" s="6" t="s">
        <v>211</v>
      </c>
      <c r="B154" s="7">
        <v>594</v>
      </c>
    </row>
    <row r="155" spans="1:2" x14ac:dyDescent="0.3">
      <c r="A155" s="6" t="s">
        <v>132</v>
      </c>
      <c r="B155" s="7">
        <v>660</v>
      </c>
    </row>
    <row r="156" spans="1:2" x14ac:dyDescent="0.3">
      <c r="A156" s="6" t="s">
        <v>215</v>
      </c>
      <c r="B156" s="7">
        <v>460</v>
      </c>
    </row>
    <row r="157" spans="1:2" x14ac:dyDescent="0.3">
      <c r="A157" s="6" t="s">
        <v>217</v>
      </c>
      <c r="B157" s="7">
        <v>570</v>
      </c>
    </row>
    <row r="158" spans="1:2" x14ac:dyDescent="0.3">
      <c r="A158" s="6" t="s">
        <v>218</v>
      </c>
      <c r="B158" s="7">
        <v>411</v>
      </c>
    </row>
    <row r="159" spans="1:2" x14ac:dyDescent="0.3">
      <c r="A159" s="6" t="s">
        <v>222</v>
      </c>
      <c r="B159" s="7">
        <v>587</v>
      </c>
    </row>
    <row r="160" spans="1:2" x14ac:dyDescent="0.3">
      <c r="A160" s="6" t="s">
        <v>231</v>
      </c>
      <c r="B160" s="7">
        <v>651</v>
      </c>
    </row>
    <row r="161" spans="1:2" x14ac:dyDescent="0.3">
      <c r="A161" s="6" t="s">
        <v>240</v>
      </c>
      <c r="B161" s="7">
        <v>189</v>
      </c>
    </row>
    <row r="162" spans="1:2" x14ac:dyDescent="0.3">
      <c r="A162" s="6" t="s">
        <v>247</v>
      </c>
      <c r="B162" s="7">
        <v>187</v>
      </c>
    </row>
    <row r="163" spans="1:2" x14ac:dyDescent="0.3">
      <c r="A163" s="6" t="s">
        <v>248</v>
      </c>
      <c r="B163" s="7">
        <v>14</v>
      </c>
    </row>
    <row r="164" spans="1:2" x14ac:dyDescent="0.3">
      <c r="A164" s="6" t="s">
        <v>254</v>
      </c>
      <c r="B164" s="7">
        <v>654</v>
      </c>
    </row>
    <row r="165" spans="1:2" x14ac:dyDescent="0.3">
      <c r="A165" s="6" t="s">
        <v>78</v>
      </c>
      <c r="B165" s="7">
        <v>89</v>
      </c>
    </row>
    <row r="166" spans="1:2" x14ac:dyDescent="0.3">
      <c r="A166" s="6" t="s">
        <v>253</v>
      </c>
      <c r="B166" s="7">
        <v>425</v>
      </c>
    </row>
    <row r="167" spans="1:2" x14ac:dyDescent="0.3">
      <c r="A167" s="6" t="s">
        <v>259</v>
      </c>
      <c r="B167" s="7">
        <v>402</v>
      </c>
    </row>
    <row r="168" spans="1:2" x14ac:dyDescent="0.3">
      <c r="A168" s="6" t="s">
        <v>263</v>
      </c>
      <c r="B168" s="7">
        <v>102</v>
      </c>
    </row>
    <row r="169" spans="1:2" x14ac:dyDescent="0.3">
      <c r="A169" s="6" t="s">
        <v>234</v>
      </c>
      <c r="B169" s="7">
        <v>442</v>
      </c>
    </row>
    <row r="170" spans="1:2" x14ac:dyDescent="0.3">
      <c r="A170" s="6" t="s">
        <v>268</v>
      </c>
      <c r="B170" s="7">
        <v>423</v>
      </c>
    </row>
    <row r="171" spans="1:2" x14ac:dyDescent="0.3">
      <c r="A171" s="6" t="s">
        <v>272</v>
      </c>
      <c r="B171" s="7">
        <v>100</v>
      </c>
    </row>
    <row r="172" spans="1:2" x14ac:dyDescent="0.3">
      <c r="A172" s="6" t="s">
        <v>278</v>
      </c>
      <c r="B172" s="7">
        <v>292</v>
      </c>
    </row>
    <row r="173" spans="1:2" x14ac:dyDescent="0.3">
      <c r="A173" s="6" t="s">
        <v>283</v>
      </c>
      <c r="B173" s="7">
        <v>390</v>
      </c>
    </row>
    <row r="174" spans="1:2" x14ac:dyDescent="0.3">
      <c r="A174" s="6" t="s">
        <v>287</v>
      </c>
      <c r="B174" s="7">
        <v>579</v>
      </c>
    </row>
    <row r="175" spans="1:2" x14ac:dyDescent="0.3">
      <c r="A175" s="6" t="s">
        <v>297</v>
      </c>
      <c r="B175" s="7">
        <v>322</v>
      </c>
    </row>
    <row r="176" spans="1:2" x14ac:dyDescent="0.3">
      <c r="A176" s="6" t="s">
        <v>298</v>
      </c>
      <c r="B176" s="7">
        <v>94</v>
      </c>
    </row>
    <row r="177" spans="1:2" x14ac:dyDescent="0.3">
      <c r="A177" s="6" t="s">
        <v>181</v>
      </c>
      <c r="B177" s="7">
        <v>629</v>
      </c>
    </row>
    <row r="178" spans="1:2" x14ac:dyDescent="0.3">
      <c r="A178" s="6" t="s">
        <v>306</v>
      </c>
      <c r="B178" s="7">
        <v>358</v>
      </c>
    </row>
    <row r="179" spans="1:2" x14ac:dyDescent="0.3">
      <c r="A179" s="6" t="s">
        <v>309</v>
      </c>
      <c r="B179" s="7">
        <v>700</v>
      </c>
    </row>
    <row r="180" spans="1:2" x14ac:dyDescent="0.3">
      <c r="A180" s="6" t="s">
        <v>312</v>
      </c>
      <c r="B180" s="7">
        <v>281</v>
      </c>
    </row>
    <row r="181" spans="1:2" x14ac:dyDescent="0.3">
      <c r="A181" s="6" t="s">
        <v>313</v>
      </c>
      <c r="B181" s="7">
        <v>612</v>
      </c>
    </row>
    <row r="182" spans="1:2" x14ac:dyDescent="0.3">
      <c r="A182" s="6" t="s">
        <v>280</v>
      </c>
      <c r="B182" s="7">
        <v>108</v>
      </c>
    </row>
    <row r="183" spans="1:2" x14ac:dyDescent="0.3">
      <c r="A183" s="6" t="s">
        <v>317</v>
      </c>
      <c r="B183" s="7">
        <v>552</v>
      </c>
    </row>
    <row r="184" spans="1:2" x14ac:dyDescent="0.3">
      <c r="A184" s="6" t="s">
        <v>320</v>
      </c>
      <c r="B184" s="7">
        <v>222</v>
      </c>
    </row>
    <row r="185" spans="1:2" x14ac:dyDescent="0.3">
      <c r="A185" s="6" t="s">
        <v>321</v>
      </c>
      <c r="B185" s="7">
        <v>250</v>
      </c>
    </row>
    <row r="186" spans="1:2" x14ac:dyDescent="0.3">
      <c r="A186" s="6" t="s">
        <v>323</v>
      </c>
      <c r="B186" s="7">
        <v>371</v>
      </c>
    </row>
    <row r="187" spans="1:2" x14ac:dyDescent="0.3">
      <c r="A187" s="6" t="s">
        <v>326</v>
      </c>
      <c r="B187" s="7">
        <v>433</v>
      </c>
    </row>
    <row r="188" spans="1:2" x14ac:dyDescent="0.3">
      <c r="A188" s="6" t="s">
        <v>324</v>
      </c>
      <c r="B188" s="7">
        <v>56</v>
      </c>
    </row>
    <row r="189" spans="1:2" x14ac:dyDescent="0.3">
      <c r="A189" s="6" t="s">
        <v>337</v>
      </c>
      <c r="B189" s="7">
        <v>658</v>
      </c>
    </row>
    <row r="190" spans="1:2" x14ac:dyDescent="0.3">
      <c r="A190" s="6" t="s">
        <v>338</v>
      </c>
      <c r="B190" s="7">
        <v>40</v>
      </c>
    </row>
    <row r="191" spans="1:2" x14ac:dyDescent="0.3">
      <c r="A191" s="6" t="s">
        <v>35</v>
      </c>
      <c r="B191" s="7">
        <v>438</v>
      </c>
    </row>
    <row r="192" spans="1:2" x14ac:dyDescent="0.3">
      <c r="A192" s="6" t="s">
        <v>346</v>
      </c>
      <c r="B192" s="7">
        <v>236</v>
      </c>
    </row>
    <row r="193" spans="1:2" x14ac:dyDescent="0.3">
      <c r="A193" s="6" t="s">
        <v>347</v>
      </c>
      <c r="B193" s="7">
        <v>269</v>
      </c>
    </row>
    <row r="194" spans="1:2" x14ac:dyDescent="0.3">
      <c r="A194" s="6" t="s">
        <v>348</v>
      </c>
      <c r="B194" s="7">
        <v>414</v>
      </c>
    </row>
    <row r="195" spans="1:2" x14ac:dyDescent="0.3">
      <c r="A195" s="6" t="s">
        <v>349</v>
      </c>
      <c r="B195" s="7">
        <v>396</v>
      </c>
    </row>
    <row r="196" spans="1:2" x14ac:dyDescent="0.3">
      <c r="A196" s="6" t="s">
        <v>353</v>
      </c>
      <c r="B196" s="7">
        <v>182</v>
      </c>
    </row>
    <row r="197" spans="1:2" x14ac:dyDescent="0.3">
      <c r="A197" s="6" t="s">
        <v>354</v>
      </c>
      <c r="B197" s="7">
        <v>313</v>
      </c>
    </row>
    <row r="198" spans="1:2" x14ac:dyDescent="0.3">
      <c r="A198" s="6" t="s">
        <v>363</v>
      </c>
      <c r="B198" s="7">
        <v>590</v>
      </c>
    </row>
    <row r="199" spans="1:2" x14ac:dyDescent="0.3">
      <c r="A199" s="6" t="s">
        <v>364</v>
      </c>
      <c r="B199" s="7">
        <v>673</v>
      </c>
    </row>
    <row r="200" spans="1:2" x14ac:dyDescent="0.3">
      <c r="A200" s="6" t="s">
        <v>367</v>
      </c>
      <c r="B200" s="7">
        <v>439</v>
      </c>
    </row>
    <row r="201" spans="1:2" x14ac:dyDescent="0.3">
      <c r="A201" s="6" t="s">
        <v>68</v>
      </c>
      <c r="B201" s="7">
        <v>168</v>
      </c>
    </row>
    <row r="202" spans="1:2" x14ac:dyDescent="0.3">
      <c r="A202" s="6" t="s">
        <v>373</v>
      </c>
      <c r="B202" s="7">
        <v>730</v>
      </c>
    </row>
    <row r="203" spans="1:2" x14ac:dyDescent="0.3">
      <c r="A203" s="6" t="s">
        <v>375</v>
      </c>
      <c r="B203" s="7">
        <v>197</v>
      </c>
    </row>
    <row r="204" spans="1:2" x14ac:dyDescent="0.3">
      <c r="A204" s="6" t="s">
        <v>377</v>
      </c>
      <c r="B204" s="7">
        <v>140</v>
      </c>
    </row>
    <row r="205" spans="1:2" x14ac:dyDescent="0.3">
      <c r="A205" s="6" t="s">
        <v>380</v>
      </c>
      <c r="B205" s="7">
        <v>487</v>
      </c>
    </row>
    <row r="206" spans="1:2" x14ac:dyDescent="0.3">
      <c r="A206" s="6" t="s">
        <v>383</v>
      </c>
      <c r="B206" s="7">
        <v>365</v>
      </c>
    </row>
    <row r="207" spans="1:2" x14ac:dyDescent="0.3">
      <c r="A207" s="6" t="s">
        <v>384</v>
      </c>
      <c r="B207" s="7">
        <v>450</v>
      </c>
    </row>
    <row r="208" spans="1:2" x14ac:dyDescent="0.3">
      <c r="A208" s="6" t="s">
        <v>386</v>
      </c>
      <c r="B208" s="7">
        <v>480</v>
      </c>
    </row>
    <row r="209" spans="1:2" x14ac:dyDescent="0.3">
      <c r="A209" s="6" t="s">
        <v>284</v>
      </c>
      <c r="B209" s="7">
        <v>143</v>
      </c>
    </row>
    <row r="210" spans="1:2" x14ac:dyDescent="0.3">
      <c r="A210" s="6" t="s">
        <v>43</v>
      </c>
      <c r="B210" s="7">
        <v>582</v>
      </c>
    </row>
    <row r="211" spans="1:2" x14ac:dyDescent="0.3">
      <c r="A211" s="6" t="s">
        <v>239</v>
      </c>
      <c r="B211" s="7">
        <v>385</v>
      </c>
    </row>
    <row r="212" spans="1:2" x14ac:dyDescent="0.3">
      <c r="A212" s="6" t="s">
        <v>31</v>
      </c>
      <c r="B212" s="7">
        <v>558</v>
      </c>
    </row>
    <row r="213" spans="1:2" x14ac:dyDescent="0.3">
      <c r="A213" s="6" t="s">
        <v>34</v>
      </c>
      <c r="B213" s="7">
        <v>583</v>
      </c>
    </row>
    <row r="214" spans="1:2" x14ac:dyDescent="0.3">
      <c r="A214" s="6" t="s">
        <v>40</v>
      </c>
      <c r="B214" s="7">
        <v>199</v>
      </c>
    </row>
    <row r="215" spans="1:2" x14ac:dyDescent="0.3">
      <c r="A215" s="6" t="s">
        <v>48</v>
      </c>
      <c r="B215" s="7">
        <v>287</v>
      </c>
    </row>
    <row r="216" spans="1:2" x14ac:dyDescent="0.3">
      <c r="A216" s="6" t="s">
        <v>51</v>
      </c>
      <c r="B216" s="7">
        <v>167</v>
      </c>
    </row>
    <row r="217" spans="1:2" x14ac:dyDescent="0.3">
      <c r="A217" s="6" t="s">
        <v>57</v>
      </c>
      <c r="B217" s="7">
        <v>49</v>
      </c>
    </row>
    <row r="218" spans="1:2" x14ac:dyDescent="0.3">
      <c r="A218" s="6" t="s">
        <v>73</v>
      </c>
      <c r="B218" s="7">
        <v>42</v>
      </c>
    </row>
    <row r="219" spans="1:2" x14ac:dyDescent="0.3">
      <c r="A219" s="6" t="s">
        <v>76</v>
      </c>
      <c r="B219" s="7">
        <v>504</v>
      </c>
    </row>
    <row r="220" spans="1:2" x14ac:dyDescent="0.3">
      <c r="A220" s="6" t="s">
        <v>98</v>
      </c>
      <c r="B220" s="7">
        <v>384</v>
      </c>
    </row>
    <row r="221" spans="1:2" x14ac:dyDescent="0.3">
      <c r="A221" s="6" t="s">
        <v>116</v>
      </c>
      <c r="B221" s="7">
        <v>175</v>
      </c>
    </row>
    <row r="222" spans="1:2" x14ac:dyDescent="0.3">
      <c r="A222" s="6" t="s">
        <v>117</v>
      </c>
      <c r="B222" s="7">
        <v>321</v>
      </c>
    </row>
    <row r="223" spans="1:2" x14ac:dyDescent="0.3">
      <c r="A223" s="6" t="s">
        <v>118</v>
      </c>
      <c r="B223" s="7">
        <v>278</v>
      </c>
    </row>
    <row r="224" spans="1:2" x14ac:dyDescent="0.3">
      <c r="A224" s="6" t="s">
        <v>133</v>
      </c>
      <c r="B224" s="7">
        <v>535</v>
      </c>
    </row>
    <row r="225" spans="1:2" x14ac:dyDescent="0.3">
      <c r="A225" s="6" t="s">
        <v>146</v>
      </c>
      <c r="B225" s="7">
        <v>708</v>
      </c>
    </row>
    <row r="226" spans="1:2" x14ac:dyDescent="0.3">
      <c r="A226" s="6" t="s">
        <v>147</v>
      </c>
      <c r="B226" s="7">
        <v>153</v>
      </c>
    </row>
    <row r="227" spans="1:2" x14ac:dyDescent="0.3">
      <c r="A227" s="6" t="s">
        <v>148</v>
      </c>
      <c r="B227" s="7">
        <v>488</v>
      </c>
    </row>
    <row r="228" spans="1:2" x14ac:dyDescent="0.3">
      <c r="A228" s="6" t="s">
        <v>149</v>
      </c>
      <c r="B228" s="7">
        <v>631</v>
      </c>
    </row>
    <row r="229" spans="1:2" x14ac:dyDescent="0.3">
      <c r="A229" s="6" t="s">
        <v>160</v>
      </c>
      <c r="B229" s="7">
        <v>528</v>
      </c>
    </row>
    <row r="230" spans="1:2" x14ac:dyDescent="0.3">
      <c r="A230" s="6" t="s">
        <v>161</v>
      </c>
      <c r="B230" s="7">
        <v>383</v>
      </c>
    </row>
    <row r="231" spans="1:2" x14ac:dyDescent="0.3">
      <c r="A231" s="6" t="s">
        <v>168</v>
      </c>
      <c r="B231" s="7">
        <v>728</v>
      </c>
    </row>
    <row r="232" spans="1:2" x14ac:dyDescent="0.3">
      <c r="A232" s="6" t="s">
        <v>169</v>
      </c>
      <c r="B232" s="7">
        <v>589</v>
      </c>
    </row>
    <row r="233" spans="1:2" x14ac:dyDescent="0.3">
      <c r="A233" s="6" t="s">
        <v>178</v>
      </c>
      <c r="B233" s="7">
        <v>444</v>
      </c>
    </row>
    <row r="234" spans="1:2" x14ac:dyDescent="0.3">
      <c r="A234" s="6" t="s">
        <v>179</v>
      </c>
      <c r="B234" s="7">
        <v>78</v>
      </c>
    </row>
    <row r="235" spans="1:2" x14ac:dyDescent="0.3">
      <c r="A235" s="6" t="s">
        <v>180</v>
      </c>
      <c r="B235" s="7">
        <v>349</v>
      </c>
    </row>
    <row r="236" spans="1:2" x14ac:dyDescent="0.3">
      <c r="A236" s="6" t="s">
        <v>183</v>
      </c>
      <c r="B236" s="7">
        <v>606</v>
      </c>
    </row>
    <row r="237" spans="1:2" x14ac:dyDescent="0.3">
      <c r="A237" s="6" t="s">
        <v>187</v>
      </c>
      <c r="B237" s="7">
        <v>58</v>
      </c>
    </row>
    <row r="238" spans="1:2" x14ac:dyDescent="0.3">
      <c r="A238" s="6" t="s">
        <v>69</v>
      </c>
      <c r="B238" s="7">
        <v>375</v>
      </c>
    </row>
    <row r="239" spans="1:2" x14ac:dyDescent="0.3">
      <c r="A239" s="6" t="s">
        <v>191</v>
      </c>
      <c r="B239" s="7">
        <v>53</v>
      </c>
    </row>
    <row r="240" spans="1:2" x14ac:dyDescent="0.3">
      <c r="A240" s="6" t="s">
        <v>194</v>
      </c>
      <c r="B240" s="7">
        <v>178</v>
      </c>
    </row>
    <row r="241" spans="1:2" x14ac:dyDescent="0.3">
      <c r="A241" s="6" t="s">
        <v>198</v>
      </c>
      <c r="B241" s="7">
        <v>45</v>
      </c>
    </row>
    <row r="242" spans="1:2" x14ac:dyDescent="0.3">
      <c r="A242" s="6" t="s">
        <v>203</v>
      </c>
      <c r="B242" s="7">
        <v>198</v>
      </c>
    </row>
    <row r="243" spans="1:2" x14ac:dyDescent="0.3">
      <c r="A243" s="6" t="s">
        <v>208</v>
      </c>
      <c r="B243" s="7">
        <v>508</v>
      </c>
    </row>
    <row r="244" spans="1:2" x14ac:dyDescent="0.3">
      <c r="A244" s="6" t="s">
        <v>213</v>
      </c>
      <c r="B244" s="7">
        <v>731</v>
      </c>
    </row>
    <row r="245" spans="1:2" x14ac:dyDescent="0.3">
      <c r="A245" s="6" t="s">
        <v>220</v>
      </c>
      <c r="B245" s="7">
        <v>164</v>
      </c>
    </row>
    <row r="246" spans="1:2" x14ac:dyDescent="0.3">
      <c r="A246" s="6" t="s">
        <v>223</v>
      </c>
      <c r="B246" s="7">
        <v>215</v>
      </c>
    </row>
    <row r="247" spans="1:2" x14ac:dyDescent="0.3">
      <c r="A247" s="6" t="s">
        <v>226</v>
      </c>
      <c r="B247" s="7">
        <v>619</v>
      </c>
    </row>
    <row r="248" spans="1:2" x14ac:dyDescent="0.3">
      <c r="A248" s="6" t="s">
        <v>227</v>
      </c>
      <c r="B248" s="7">
        <v>76</v>
      </c>
    </row>
    <row r="249" spans="1:2" x14ac:dyDescent="0.3">
      <c r="A249" s="6" t="s">
        <v>235</v>
      </c>
      <c r="B249" s="7">
        <v>689</v>
      </c>
    </row>
    <row r="250" spans="1:2" x14ac:dyDescent="0.3">
      <c r="A250" s="6" t="s">
        <v>238</v>
      </c>
      <c r="B250" s="7">
        <v>389</v>
      </c>
    </row>
    <row r="251" spans="1:2" x14ac:dyDescent="0.3">
      <c r="A251" s="6" t="s">
        <v>241</v>
      </c>
      <c r="B251" s="7">
        <v>422</v>
      </c>
    </row>
    <row r="252" spans="1:2" x14ac:dyDescent="0.3">
      <c r="A252" s="6" t="s">
        <v>50</v>
      </c>
      <c r="B252" s="7">
        <v>191</v>
      </c>
    </row>
    <row r="253" spans="1:2" x14ac:dyDescent="0.3">
      <c r="A253" s="6" t="s">
        <v>249</v>
      </c>
      <c r="B253" s="7">
        <v>554</v>
      </c>
    </row>
    <row r="254" spans="1:2" x14ac:dyDescent="0.3">
      <c r="A254" s="6" t="s">
        <v>250</v>
      </c>
      <c r="B254" s="7">
        <v>453</v>
      </c>
    </row>
    <row r="255" spans="1:2" x14ac:dyDescent="0.3">
      <c r="A255" s="6" t="s">
        <v>255</v>
      </c>
      <c r="B255" s="7">
        <v>142</v>
      </c>
    </row>
    <row r="256" spans="1:2" x14ac:dyDescent="0.3">
      <c r="A256" s="6" t="s">
        <v>257</v>
      </c>
      <c r="B256" s="7">
        <v>204</v>
      </c>
    </row>
    <row r="257" spans="1:2" x14ac:dyDescent="0.3">
      <c r="A257" s="6" t="s">
        <v>260</v>
      </c>
      <c r="B257" s="7">
        <v>326</v>
      </c>
    </row>
    <row r="258" spans="1:2" x14ac:dyDescent="0.3">
      <c r="A258" s="6" t="s">
        <v>261</v>
      </c>
      <c r="B258" s="7">
        <v>73</v>
      </c>
    </row>
    <row r="259" spans="1:2" x14ac:dyDescent="0.3">
      <c r="A259" s="6" t="s">
        <v>266</v>
      </c>
      <c r="B259" s="7">
        <v>131</v>
      </c>
    </row>
    <row r="260" spans="1:2" x14ac:dyDescent="0.3">
      <c r="A260" s="6" t="s">
        <v>267</v>
      </c>
      <c r="B260" s="7">
        <v>373</v>
      </c>
    </row>
    <row r="261" spans="1:2" x14ac:dyDescent="0.3">
      <c r="A261" s="6" t="s">
        <v>270</v>
      </c>
      <c r="B261" s="7">
        <v>441</v>
      </c>
    </row>
    <row r="262" spans="1:2" x14ac:dyDescent="0.3">
      <c r="A262" s="6" t="s">
        <v>271</v>
      </c>
      <c r="B262" s="7">
        <v>394</v>
      </c>
    </row>
    <row r="263" spans="1:2" x14ac:dyDescent="0.3">
      <c r="A263" s="6" t="s">
        <v>277</v>
      </c>
      <c r="B263" s="7">
        <v>585</v>
      </c>
    </row>
    <row r="264" spans="1:2" x14ac:dyDescent="0.3">
      <c r="A264" s="6" t="s">
        <v>289</v>
      </c>
      <c r="B264" s="7">
        <v>302</v>
      </c>
    </row>
    <row r="265" spans="1:2" x14ac:dyDescent="0.3">
      <c r="A265" s="6" t="s">
        <v>145</v>
      </c>
      <c r="B265" s="7">
        <v>466</v>
      </c>
    </row>
    <row r="266" spans="1:2" x14ac:dyDescent="0.3">
      <c r="A266" s="6" t="s">
        <v>293</v>
      </c>
      <c r="B266" s="7">
        <v>362</v>
      </c>
    </row>
    <row r="267" spans="1:2" x14ac:dyDescent="0.3">
      <c r="A267" s="6" t="s">
        <v>296</v>
      </c>
      <c r="B267" s="7">
        <v>553</v>
      </c>
    </row>
    <row r="268" spans="1:2" x14ac:dyDescent="0.3">
      <c r="A268" s="6" t="s">
        <v>299</v>
      </c>
      <c r="B268" s="7">
        <v>290</v>
      </c>
    </row>
    <row r="269" spans="1:2" x14ac:dyDescent="0.3">
      <c r="A269" s="6" t="s">
        <v>303</v>
      </c>
      <c r="B269" s="7">
        <v>304</v>
      </c>
    </row>
    <row r="270" spans="1:2" x14ac:dyDescent="0.3">
      <c r="A270" s="6" t="s">
        <v>304</v>
      </c>
      <c r="B270" s="7">
        <v>699</v>
      </c>
    </row>
    <row r="271" spans="1:2" x14ac:dyDescent="0.3">
      <c r="A271" s="6" t="s">
        <v>305</v>
      </c>
      <c r="B271" s="7">
        <v>38</v>
      </c>
    </row>
    <row r="272" spans="1:2" x14ac:dyDescent="0.3">
      <c r="A272" s="6" t="s">
        <v>311</v>
      </c>
      <c r="B272" s="7">
        <v>397</v>
      </c>
    </row>
    <row r="273" spans="1:2" x14ac:dyDescent="0.3">
      <c r="A273" s="6" t="s">
        <v>327</v>
      </c>
      <c r="B273" s="7">
        <v>357</v>
      </c>
    </row>
    <row r="274" spans="1:2" x14ac:dyDescent="0.3">
      <c r="A274" s="6" t="s">
        <v>328</v>
      </c>
      <c r="B274" s="7">
        <v>44</v>
      </c>
    </row>
    <row r="275" spans="1:2" x14ac:dyDescent="0.3">
      <c r="A275" s="6" t="s">
        <v>345</v>
      </c>
      <c r="B275" s="7">
        <v>227</v>
      </c>
    </row>
    <row r="276" spans="1:2" x14ac:dyDescent="0.3">
      <c r="A276" s="6" t="s">
        <v>202</v>
      </c>
      <c r="B276" s="7">
        <v>17</v>
      </c>
    </row>
    <row r="277" spans="1:2" x14ac:dyDescent="0.3">
      <c r="A277" s="6" t="s">
        <v>352</v>
      </c>
      <c r="B277" s="7">
        <v>220</v>
      </c>
    </row>
    <row r="278" spans="1:2" x14ac:dyDescent="0.3">
      <c r="A278" s="6" t="s">
        <v>360</v>
      </c>
      <c r="B278" s="7">
        <v>272</v>
      </c>
    </row>
    <row r="279" spans="1:2" x14ac:dyDescent="0.3">
      <c r="A279" s="6" t="s">
        <v>329</v>
      </c>
      <c r="B279" s="7">
        <v>316</v>
      </c>
    </row>
    <row r="280" spans="1:2" x14ac:dyDescent="0.3">
      <c r="A280" s="6" t="s">
        <v>206</v>
      </c>
      <c r="B280" s="7">
        <v>211</v>
      </c>
    </row>
    <row r="281" spans="1:2" x14ac:dyDescent="0.3">
      <c r="A281" s="6" t="s">
        <v>369</v>
      </c>
      <c r="B281" s="7">
        <v>282</v>
      </c>
    </row>
    <row r="282" spans="1:2" x14ac:dyDescent="0.3">
      <c r="A282" s="6" t="s">
        <v>371</v>
      </c>
      <c r="B282" s="7">
        <v>435</v>
      </c>
    </row>
    <row r="283" spans="1:2" x14ac:dyDescent="0.3">
      <c r="A283" s="6" t="s">
        <v>376</v>
      </c>
      <c r="B283" s="7">
        <v>616</v>
      </c>
    </row>
    <row r="284" spans="1:2" x14ac:dyDescent="0.3">
      <c r="A284" s="6" t="s">
        <v>381</v>
      </c>
      <c r="B284" s="7">
        <v>561</v>
      </c>
    </row>
    <row r="285" spans="1:2" x14ac:dyDescent="0.3">
      <c r="A285" s="6" t="s">
        <v>378</v>
      </c>
      <c r="B285" s="7">
        <v>413</v>
      </c>
    </row>
    <row r="286" spans="1:2" x14ac:dyDescent="0.3">
      <c r="A286" s="6" t="s">
        <v>387</v>
      </c>
      <c r="B286" s="7">
        <v>491</v>
      </c>
    </row>
    <row r="287" spans="1:2" x14ac:dyDescent="0.3">
      <c r="A287" s="6" t="s">
        <v>388</v>
      </c>
      <c r="B287" s="7">
        <v>688</v>
      </c>
    </row>
    <row r="288" spans="1:2" x14ac:dyDescent="0.3">
      <c r="A288" s="6" t="s">
        <v>1</v>
      </c>
      <c r="B288" s="7">
        <v>128</v>
      </c>
    </row>
    <row r="289" spans="1:2" x14ac:dyDescent="0.3">
      <c r="A289" s="6" t="s">
        <v>11</v>
      </c>
      <c r="B289" s="7">
        <v>300</v>
      </c>
    </row>
    <row r="290" spans="1:2" x14ac:dyDescent="0.3">
      <c r="A290" s="6" t="s">
        <v>24</v>
      </c>
      <c r="B290" s="7">
        <v>454</v>
      </c>
    </row>
    <row r="291" spans="1:2" x14ac:dyDescent="0.3">
      <c r="A291" s="6" t="s">
        <v>45</v>
      </c>
      <c r="B291" s="7">
        <v>609</v>
      </c>
    </row>
    <row r="292" spans="1:2" x14ac:dyDescent="0.3">
      <c r="A292" s="6" t="s">
        <v>52</v>
      </c>
      <c r="B292" s="7">
        <v>77</v>
      </c>
    </row>
    <row r="293" spans="1:2" x14ac:dyDescent="0.3">
      <c r="A293" s="6" t="s">
        <v>61</v>
      </c>
      <c r="B293" s="7">
        <v>68</v>
      </c>
    </row>
    <row r="294" spans="1:2" x14ac:dyDescent="0.3">
      <c r="A294" s="6" t="s">
        <v>62</v>
      </c>
      <c r="B294" s="7">
        <v>118</v>
      </c>
    </row>
    <row r="295" spans="1:2" x14ac:dyDescent="0.3">
      <c r="A295" s="6" t="s">
        <v>91</v>
      </c>
      <c r="B295" s="7">
        <v>537</v>
      </c>
    </row>
    <row r="296" spans="1:2" x14ac:dyDescent="0.3">
      <c r="A296" s="6" t="s">
        <v>94</v>
      </c>
      <c r="B296" s="7">
        <v>467</v>
      </c>
    </row>
    <row r="297" spans="1:2" x14ac:dyDescent="0.3">
      <c r="A297" s="6" t="s">
        <v>99</v>
      </c>
      <c r="B297" s="7">
        <v>644</v>
      </c>
    </row>
    <row r="298" spans="1:2" x14ac:dyDescent="0.3">
      <c r="A298" s="6" t="s">
        <v>109</v>
      </c>
      <c r="B298" s="7">
        <v>16</v>
      </c>
    </row>
    <row r="299" spans="1:2" x14ac:dyDescent="0.3">
      <c r="A299" s="6" t="s">
        <v>110</v>
      </c>
      <c r="B299" s="7">
        <v>377</v>
      </c>
    </row>
    <row r="300" spans="1:2" x14ac:dyDescent="0.3">
      <c r="A300" s="6" t="s">
        <v>113</v>
      </c>
      <c r="B300" s="7">
        <v>686</v>
      </c>
    </row>
    <row r="301" spans="1:2" x14ac:dyDescent="0.3">
      <c r="A301" s="6" t="s">
        <v>115</v>
      </c>
      <c r="B301" s="7">
        <v>340</v>
      </c>
    </row>
    <row r="302" spans="1:2" x14ac:dyDescent="0.3">
      <c r="A302" s="6" t="s">
        <v>125</v>
      </c>
      <c r="B302" s="7">
        <v>427</v>
      </c>
    </row>
    <row r="303" spans="1:2" x14ac:dyDescent="0.3">
      <c r="A303" s="6" t="s">
        <v>126</v>
      </c>
      <c r="B303" s="7">
        <v>18</v>
      </c>
    </row>
    <row r="304" spans="1:2" x14ac:dyDescent="0.3">
      <c r="A304" s="6" t="s">
        <v>127</v>
      </c>
      <c r="B304" s="7">
        <v>75</v>
      </c>
    </row>
    <row r="305" spans="1:2" x14ac:dyDescent="0.3">
      <c r="A305" s="6" t="s">
        <v>129</v>
      </c>
      <c r="B305" s="7">
        <v>473</v>
      </c>
    </row>
    <row r="306" spans="1:2" x14ac:dyDescent="0.3">
      <c r="A306" s="6" t="s">
        <v>131</v>
      </c>
      <c r="B306" s="7">
        <v>452</v>
      </c>
    </row>
    <row r="307" spans="1:2" x14ac:dyDescent="0.3">
      <c r="A307" s="6" t="s">
        <v>144</v>
      </c>
      <c r="B307" s="7">
        <v>407</v>
      </c>
    </row>
    <row r="308" spans="1:2" x14ac:dyDescent="0.3">
      <c r="A308" s="6" t="s">
        <v>151</v>
      </c>
      <c r="B308" s="7">
        <v>353</v>
      </c>
    </row>
    <row r="309" spans="1:2" x14ac:dyDescent="0.3">
      <c r="A309" s="6" t="s">
        <v>155</v>
      </c>
      <c r="B309" s="7">
        <v>288</v>
      </c>
    </row>
    <row r="310" spans="1:2" x14ac:dyDescent="0.3">
      <c r="A310" s="6" t="s">
        <v>172</v>
      </c>
      <c r="B310" s="7">
        <v>67</v>
      </c>
    </row>
    <row r="311" spans="1:2" x14ac:dyDescent="0.3">
      <c r="A311" s="6" t="s">
        <v>182</v>
      </c>
      <c r="B311" s="7">
        <v>370</v>
      </c>
    </row>
    <row r="312" spans="1:2" x14ac:dyDescent="0.3">
      <c r="A312" s="6" t="s">
        <v>186</v>
      </c>
      <c r="B312" s="7">
        <v>254</v>
      </c>
    </row>
    <row r="313" spans="1:2" x14ac:dyDescent="0.3">
      <c r="A313" s="6" t="s">
        <v>207</v>
      </c>
      <c r="B313" s="7">
        <v>494</v>
      </c>
    </row>
    <row r="314" spans="1:2" x14ac:dyDescent="0.3">
      <c r="A314" s="6" t="s">
        <v>209</v>
      </c>
      <c r="B314" s="7">
        <v>534</v>
      </c>
    </row>
    <row r="315" spans="1:2" x14ac:dyDescent="0.3">
      <c r="A315" s="6" t="s">
        <v>214</v>
      </c>
      <c r="B315" s="7">
        <v>312</v>
      </c>
    </row>
    <row r="316" spans="1:2" x14ac:dyDescent="0.3">
      <c r="A316" s="6" t="s">
        <v>216</v>
      </c>
      <c r="B316" s="7">
        <v>440</v>
      </c>
    </row>
    <row r="317" spans="1:2" x14ac:dyDescent="0.3">
      <c r="A317" s="6" t="s">
        <v>221</v>
      </c>
      <c r="B317" s="7">
        <v>186</v>
      </c>
    </row>
    <row r="318" spans="1:2" x14ac:dyDescent="0.3">
      <c r="A318" s="6" t="s">
        <v>230</v>
      </c>
      <c r="B318" s="7">
        <v>172</v>
      </c>
    </row>
    <row r="319" spans="1:2" x14ac:dyDescent="0.3">
      <c r="A319" s="6" t="s">
        <v>232</v>
      </c>
      <c r="B319" s="7">
        <v>64</v>
      </c>
    </row>
    <row r="320" spans="1:2" x14ac:dyDescent="0.3">
      <c r="A320" s="6" t="s">
        <v>233</v>
      </c>
      <c r="B320" s="7">
        <v>147</v>
      </c>
    </row>
    <row r="321" spans="1:2" x14ac:dyDescent="0.3">
      <c r="A321" s="6" t="s">
        <v>236</v>
      </c>
      <c r="B321" s="7">
        <v>301</v>
      </c>
    </row>
    <row r="322" spans="1:2" x14ac:dyDescent="0.3">
      <c r="A322" s="6" t="s">
        <v>242</v>
      </c>
      <c r="B322" s="7">
        <v>580</v>
      </c>
    </row>
    <row r="323" spans="1:2" x14ac:dyDescent="0.3">
      <c r="A323" s="6" t="s">
        <v>245</v>
      </c>
      <c r="B323" s="7">
        <v>193</v>
      </c>
    </row>
    <row r="324" spans="1:2" x14ac:dyDescent="0.3">
      <c r="A324" s="6" t="s">
        <v>251</v>
      </c>
      <c r="B324" s="7">
        <v>154</v>
      </c>
    </row>
    <row r="325" spans="1:2" x14ac:dyDescent="0.3">
      <c r="A325" s="6" t="s">
        <v>252</v>
      </c>
      <c r="B325" s="7">
        <v>79</v>
      </c>
    </row>
    <row r="326" spans="1:2" x14ac:dyDescent="0.3">
      <c r="A326" s="6" t="s">
        <v>265</v>
      </c>
      <c r="B326" s="7">
        <v>192</v>
      </c>
    </row>
    <row r="327" spans="1:2" x14ac:dyDescent="0.3">
      <c r="A327" s="6" t="s">
        <v>269</v>
      </c>
      <c r="B327" s="7">
        <v>109</v>
      </c>
    </row>
    <row r="328" spans="1:2" x14ac:dyDescent="0.3">
      <c r="A328" s="6" t="s">
        <v>276</v>
      </c>
      <c r="B328" s="7">
        <v>600</v>
      </c>
    </row>
    <row r="329" spans="1:2" x14ac:dyDescent="0.3">
      <c r="A329" s="6" t="s">
        <v>281</v>
      </c>
      <c r="B329" s="7">
        <v>529</v>
      </c>
    </row>
    <row r="330" spans="1:2" x14ac:dyDescent="0.3">
      <c r="A330" s="6" t="s">
        <v>282</v>
      </c>
      <c r="B330" s="7">
        <v>169</v>
      </c>
    </row>
    <row r="331" spans="1:2" x14ac:dyDescent="0.3">
      <c r="A331" s="6" t="s">
        <v>294</v>
      </c>
      <c r="B331" s="7">
        <v>376</v>
      </c>
    </row>
    <row r="332" spans="1:2" x14ac:dyDescent="0.3">
      <c r="A332" s="6" t="s">
        <v>300</v>
      </c>
      <c r="B332" s="7">
        <v>635</v>
      </c>
    </row>
    <row r="333" spans="1:2" x14ac:dyDescent="0.3">
      <c r="A333" s="6" t="s">
        <v>307</v>
      </c>
      <c r="B333" s="7">
        <v>372</v>
      </c>
    </row>
    <row r="334" spans="1:2" x14ac:dyDescent="0.3">
      <c r="A334" s="6" t="s">
        <v>310</v>
      </c>
      <c r="B334" s="7">
        <v>35</v>
      </c>
    </row>
    <row r="335" spans="1:2" x14ac:dyDescent="0.3">
      <c r="A335" s="6" t="s">
        <v>319</v>
      </c>
      <c r="B335" s="7">
        <v>263</v>
      </c>
    </row>
    <row r="336" spans="1:2" x14ac:dyDescent="0.3">
      <c r="A336" s="6" t="s">
        <v>322</v>
      </c>
      <c r="B336" s="7">
        <v>70</v>
      </c>
    </row>
    <row r="337" spans="1:2" x14ac:dyDescent="0.3">
      <c r="A337" s="6" t="s">
        <v>325</v>
      </c>
      <c r="B337" s="7">
        <v>65</v>
      </c>
    </row>
    <row r="338" spans="1:2" x14ac:dyDescent="0.3">
      <c r="A338" s="6" t="s">
        <v>332</v>
      </c>
      <c r="B338" s="7">
        <v>676</v>
      </c>
    </row>
    <row r="339" spans="1:2" x14ac:dyDescent="0.3">
      <c r="A339" s="6" t="s">
        <v>339</v>
      </c>
      <c r="B339" s="7">
        <v>129</v>
      </c>
    </row>
    <row r="340" spans="1:2" x14ac:dyDescent="0.3">
      <c r="A340" s="6" t="s">
        <v>343</v>
      </c>
      <c r="B340" s="7">
        <v>409</v>
      </c>
    </row>
    <row r="341" spans="1:2" x14ac:dyDescent="0.3">
      <c r="A341" s="6" t="s">
        <v>350</v>
      </c>
      <c r="B341" s="7">
        <v>659</v>
      </c>
    </row>
    <row r="342" spans="1:2" x14ac:dyDescent="0.3">
      <c r="A342" s="6" t="s">
        <v>357</v>
      </c>
      <c r="B342" s="7">
        <v>165</v>
      </c>
    </row>
    <row r="343" spans="1:2" x14ac:dyDescent="0.3">
      <c r="A343" s="6" t="s">
        <v>359</v>
      </c>
      <c r="B343" s="7">
        <v>96</v>
      </c>
    </row>
    <row r="344" spans="1:2" x14ac:dyDescent="0.3">
      <c r="A344" s="6" t="s">
        <v>362</v>
      </c>
      <c r="B344" s="7">
        <v>201</v>
      </c>
    </row>
    <row r="345" spans="1:2" x14ac:dyDescent="0.3">
      <c r="A345" s="6" t="s">
        <v>365</v>
      </c>
      <c r="B345" s="7">
        <v>166</v>
      </c>
    </row>
    <row r="346" spans="1:2" x14ac:dyDescent="0.3">
      <c r="A346" s="6" t="s">
        <v>372</v>
      </c>
      <c r="B346" s="7">
        <v>381</v>
      </c>
    </row>
    <row r="347" spans="1:2" x14ac:dyDescent="0.3">
      <c r="A347" s="6" t="s">
        <v>374</v>
      </c>
      <c r="B347" s="7">
        <v>307</v>
      </c>
    </row>
    <row r="348" spans="1:2" x14ac:dyDescent="0.3">
      <c r="A348" s="6" t="s">
        <v>385</v>
      </c>
      <c r="B348" s="7">
        <v>317</v>
      </c>
    </row>
    <row r="349" spans="1:2" x14ac:dyDescent="0.3">
      <c r="A349" s="6" t="s">
        <v>390</v>
      </c>
      <c r="B349" s="7">
        <v>185</v>
      </c>
    </row>
    <row r="350" spans="1:2" x14ac:dyDescent="0.3">
      <c r="A350" s="10" t="s">
        <v>391</v>
      </c>
      <c r="B350" s="11">
        <v>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0BE7-8479-4238-9B63-774695117419}">
  <dimension ref="E3:P18"/>
  <sheetViews>
    <sheetView topLeftCell="B1" workbookViewId="0">
      <selection activeCell="J21" sqref="J21"/>
    </sheetView>
  </sheetViews>
  <sheetFormatPr defaultRowHeight="14.4" x14ac:dyDescent="0.3"/>
  <cols>
    <col min="5" max="5" width="19.21875" customWidth="1"/>
    <col min="7" max="7" width="25" customWidth="1"/>
    <col min="8" max="8" width="13.6640625" customWidth="1"/>
    <col min="9" max="9" width="17.44140625" customWidth="1"/>
    <col min="11" max="11" width="17.21875" bestFit="1" customWidth="1"/>
    <col min="13" max="13" width="16.77734375" customWidth="1"/>
    <col min="15" max="15" width="16.77734375" customWidth="1"/>
  </cols>
  <sheetData>
    <row r="3" spans="5:16" ht="15" thickBot="1" x14ac:dyDescent="0.35"/>
    <row r="4" spans="5:16" x14ac:dyDescent="0.3">
      <c r="E4" s="3" t="s">
        <v>398</v>
      </c>
      <c r="F4" s="3"/>
      <c r="G4" s="3" t="s">
        <v>400</v>
      </c>
      <c r="H4" s="3"/>
      <c r="I4" s="3" t="s">
        <v>401</v>
      </c>
      <c r="J4" s="3"/>
      <c r="K4" s="3" t="s">
        <v>402</v>
      </c>
      <c r="L4" s="3"/>
      <c r="M4" s="3" t="s">
        <v>403</v>
      </c>
      <c r="N4" s="3"/>
      <c r="O4" s="3" t="s">
        <v>404</v>
      </c>
      <c r="P4" s="3"/>
    </row>
    <row r="5" spans="5:16" x14ac:dyDescent="0.3"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5:16" x14ac:dyDescent="0.3">
      <c r="E6" s="4" t="s">
        <v>406</v>
      </c>
      <c r="F6" s="4">
        <v>46.704000000000001</v>
      </c>
      <c r="G6" s="4" t="s">
        <v>406</v>
      </c>
      <c r="H6" s="4">
        <v>640.80999999999995</v>
      </c>
      <c r="I6" s="4" t="s">
        <v>406</v>
      </c>
      <c r="J6" s="4">
        <v>3651.3739999999998</v>
      </c>
      <c r="K6" s="4" t="s">
        <v>406</v>
      </c>
      <c r="L6" s="4">
        <v>7.4249455163583535</v>
      </c>
      <c r="M6" s="4" t="s">
        <v>406</v>
      </c>
      <c r="N6" s="4">
        <v>2.1222994142200315</v>
      </c>
      <c r="O6" s="4" t="s">
        <v>406</v>
      </c>
      <c r="P6" s="4">
        <v>26.774918279154665</v>
      </c>
    </row>
    <row r="7" spans="5:16" x14ac:dyDescent="0.3">
      <c r="E7" s="4" t="s">
        <v>407</v>
      </c>
      <c r="F7" s="4">
        <v>4.5840475293677976</v>
      </c>
      <c r="G7" s="4" t="s">
        <v>407</v>
      </c>
      <c r="H7" s="4">
        <v>58.46325577961516</v>
      </c>
      <c r="I7" s="4" t="s">
        <v>407</v>
      </c>
      <c r="J7" s="4">
        <v>659.50305676927985</v>
      </c>
      <c r="K7" s="4" t="s">
        <v>407</v>
      </c>
      <c r="L7" s="4">
        <v>0.37856379691787118</v>
      </c>
      <c r="M7" s="4" t="s">
        <v>407</v>
      </c>
      <c r="N7" s="4">
        <v>0.14522071301310621</v>
      </c>
      <c r="O7" s="4" t="s">
        <v>407</v>
      </c>
      <c r="P7" s="4">
        <v>1.6562159029276191</v>
      </c>
    </row>
    <row r="8" spans="5:16" x14ac:dyDescent="0.3">
      <c r="E8" s="4" t="s">
        <v>408</v>
      </c>
      <c r="F8" s="4">
        <v>5</v>
      </c>
      <c r="G8" s="4" t="s">
        <v>408</v>
      </c>
      <c r="H8" s="4">
        <v>30</v>
      </c>
      <c r="I8" s="4" t="s">
        <v>408</v>
      </c>
      <c r="J8" s="4">
        <v>73</v>
      </c>
      <c r="K8" s="4" t="s">
        <v>408</v>
      </c>
      <c r="L8" s="4">
        <v>4.03125</v>
      </c>
      <c r="M8" s="4" t="s">
        <v>408</v>
      </c>
      <c r="N8" s="4">
        <v>0.64469546890928808</v>
      </c>
      <c r="O8" s="4" t="s">
        <v>408</v>
      </c>
      <c r="P8" s="4">
        <v>11.221748400852878</v>
      </c>
    </row>
    <row r="9" spans="5:16" x14ac:dyDescent="0.3">
      <c r="E9" s="4" t="s">
        <v>409</v>
      </c>
      <c r="F9" s="4">
        <v>0</v>
      </c>
      <c r="G9" s="4" t="s">
        <v>409</v>
      </c>
      <c r="H9" s="4">
        <v>0</v>
      </c>
      <c r="I9" s="4" t="s">
        <v>409</v>
      </c>
      <c r="J9" s="4">
        <v>0</v>
      </c>
      <c r="K9" s="4" t="s">
        <v>409</v>
      </c>
      <c r="L9" s="4">
        <v>0</v>
      </c>
      <c r="M9" s="4" t="s">
        <v>409</v>
      </c>
      <c r="N9" s="4">
        <v>0</v>
      </c>
      <c r="O9" s="4" t="s">
        <v>409</v>
      </c>
      <c r="P9" s="4">
        <v>0</v>
      </c>
    </row>
    <row r="10" spans="5:16" x14ac:dyDescent="0.3">
      <c r="E10" s="4" t="s">
        <v>410</v>
      </c>
      <c r="F10" s="4">
        <v>102.50241887756358</v>
      </c>
      <c r="G10" s="4" t="s">
        <v>410</v>
      </c>
      <c r="H10" s="4">
        <v>1307.2781410917696</v>
      </c>
      <c r="I10" s="4" t="s">
        <v>410</v>
      </c>
      <c r="J10" s="4">
        <v>14746.936663050126</v>
      </c>
      <c r="K10" s="4" t="s">
        <v>410</v>
      </c>
      <c r="L10" s="4">
        <v>8.4649438372878532</v>
      </c>
      <c r="M10" s="4" t="s">
        <v>410</v>
      </c>
      <c r="N10" s="4">
        <v>3.2472338603829383</v>
      </c>
      <c r="O10" s="4" t="s">
        <v>410</v>
      </c>
      <c r="P10" s="4">
        <v>37.034113443623497</v>
      </c>
    </row>
    <row r="11" spans="5:16" x14ac:dyDescent="0.3">
      <c r="E11" s="4" t="s">
        <v>411</v>
      </c>
      <c r="F11" s="4">
        <v>10506.745875751503</v>
      </c>
      <c r="G11" s="4" t="s">
        <v>411</v>
      </c>
      <c r="H11" s="4">
        <v>1708976.1381763527</v>
      </c>
      <c r="I11" s="4" t="s">
        <v>411</v>
      </c>
      <c r="J11" s="4">
        <v>217472140.94401202</v>
      </c>
      <c r="K11" s="4" t="s">
        <v>411</v>
      </c>
      <c r="L11" s="4">
        <v>71.6552741684376</v>
      </c>
      <c r="M11" s="4" t="s">
        <v>411</v>
      </c>
      <c r="N11" s="4">
        <v>10.544527744017479</v>
      </c>
      <c r="O11" s="4" t="s">
        <v>411</v>
      </c>
      <c r="P11" s="4">
        <v>1371.5255585551745</v>
      </c>
    </row>
    <row r="12" spans="5:16" x14ac:dyDescent="0.3">
      <c r="E12" s="4" t="s">
        <v>412</v>
      </c>
      <c r="F12" s="4">
        <v>44.860725455766449</v>
      </c>
      <c r="G12" s="4" t="s">
        <v>412</v>
      </c>
      <c r="H12" s="4">
        <v>33.429347579850926</v>
      </c>
      <c r="I12" s="4" t="s">
        <v>412</v>
      </c>
      <c r="J12" s="4">
        <v>84.205458030964621</v>
      </c>
      <c r="K12" s="4" t="s">
        <v>412</v>
      </c>
      <c r="L12" s="4">
        <v>2.3733764205447838</v>
      </c>
      <c r="M12" s="4" t="s">
        <v>412</v>
      </c>
      <c r="N12" s="4">
        <v>5.6257717595763737</v>
      </c>
      <c r="O12" s="4" t="s">
        <v>412</v>
      </c>
      <c r="P12" s="4">
        <v>3.863477627955231</v>
      </c>
    </row>
    <row r="13" spans="5:16" x14ac:dyDescent="0.3">
      <c r="E13" s="4" t="s">
        <v>413</v>
      </c>
      <c r="F13" s="4">
        <v>5.6009748897734148</v>
      </c>
      <c r="G13" s="4" t="s">
        <v>413</v>
      </c>
      <c r="H13" s="4">
        <v>4.793894018827527</v>
      </c>
      <c r="I13" s="4" t="s">
        <v>413</v>
      </c>
      <c r="J13" s="4">
        <v>8.4205958414378248</v>
      </c>
      <c r="K13" s="4" t="s">
        <v>413</v>
      </c>
      <c r="L13" s="4">
        <v>1.0346603346547034</v>
      </c>
      <c r="M13" s="4" t="s">
        <v>413</v>
      </c>
      <c r="N13" s="4">
        <v>2.24138777883257</v>
      </c>
      <c r="O13" s="4" t="s">
        <v>413</v>
      </c>
      <c r="P13" s="4">
        <v>1.834051708294514</v>
      </c>
    </row>
    <row r="14" spans="5:16" x14ac:dyDescent="0.3">
      <c r="E14" s="4" t="s">
        <v>414</v>
      </c>
      <c r="F14" s="4">
        <v>1193</v>
      </c>
      <c r="G14" s="4" t="s">
        <v>414</v>
      </c>
      <c r="H14" s="4">
        <v>13985</v>
      </c>
      <c r="I14" s="4" t="s">
        <v>414</v>
      </c>
      <c r="J14" s="4">
        <v>196020</v>
      </c>
      <c r="K14" s="4" t="s">
        <v>414</v>
      </c>
      <c r="L14" s="4">
        <v>62.580246913580247</v>
      </c>
      <c r="M14" s="4" t="s">
        <v>414</v>
      </c>
      <c r="N14" s="4">
        <v>17.564575645756456</v>
      </c>
      <c r="O14" s="4" t="s">
        <v>414</v>
      </c>
      <c r="P14" s="4">
        <v>206.75822050290137</v>
      </c>
    </row>
    <row r="15" spans="5:16" x14ac:dyDescent="0.3">
      <c r="E15" s="4" t="s">
        <v>415</v>
      </c>
      <c r="F15" s="4">
        <v>0</v>
      </c>
      <c r="G15" s="4" t="s">
        <v>415</v>
      </c>
      <c r="H15" s="4">
        <v>0</v>
      </c>
      <c r="I15" s="4" t="s">
        <v>415</v>
      </c>
      <c r="J15" s="4">
        <v>0</v>
      </c>
      <c r="K15" s="4" t="s">
        <v>415</v>
      </c>
      <c r="L15" s="4">
        <v>0</v>
      </c>
      <c r="M15" s="4" t="s">
        <v>415</v>
      </c>
      <c r="N15" s="4">
        <v>0</v>
      </c>
      <c r="O15" s="4" t="s">
        <v>415</v>
      </c>
      <c r="P15" s="4">
        <v>0</v>
      </c>
    </row>
    <row r="16" spans="5:16" x14ac:dyDescent="0.3">
      <c r="E16" s="4" t="s">
        <v>416</v>
      </c>
      <c r="F16" s="4">
        <v>1193</v>
      </c>
      <c r="G16" s="4" t="s">
        <v>416</v>
      </c>
      <c r="H16" s="4">
        <v>13985</v>
      </c>
      <c r="I16" s="4" t="s">
        <v>416</v>
      </c>
      <c r="J16" s="4">
        <v>196020</v>
      </c>
      <c r="K16" s="4" t="s">
        <v>416</v>
      </c>
      <c r="L16" s="4">
        <v>62.580246913580247</v>
      </c>
      <c r="M16" s="4" t="s">
        <v>416</v>
      </c>
      <c r="N16" s="4">
        <v>17.564575645756456</v>
      </c>
      <c r="O16" s="4" t="s">
        <v>416</v>
      </c>
      <c r="P16" s="4">
        <v>206.75822050290137</v>
      </c>
    </row>
    <row r="17" spans="5:16" x14ac:dyDescent="0.3">
      <c r="E17" s="4" t="s">
        <v>417</v>
      </c>
      <c r="F17" s="4">
        <v>23352</v>
      </c>
      <c r="G17" s="4" t="s">
        <v>417</v>
      </c>
      <c r="H17" s="4">
        <v>320405</v>
      </c>
      <c r="I17" s="4" t="s">
        <v>417</v>
      </c>
      <c r="J17" s="4">
        <v>1825687</v>
      </c>
      <c r="K17" s="4" t="s">
        <v>417</v>
      </c>
      <c r="L17" s="4">
        <v>3712.4727581791767</v>
      </c>
      <c r="M17" s="4" t="s">
        <v>417</v>
      </c>
      <c r="N17" s="4">
        <v>1061.1497071100157</v>
      </c>
      <c r="O17" s="4" t="s">
        <v>417</v>
      </c>
      <c r="P17" s="4">
        <v>13387.459139577333</v>
      </c>
    </row>
    <row r="18" spans="5:16" ht="15" thickBot="1" x14ac:dyDescent="0.35">
      <c r="E18" s="5" t="s">
        <v>418</v>
      </c>
      <c r="F18" s="5">
        <v>500</v>
      </c>
      <c r="G18" s="5" t="s">
        <v>418</v>
      </c>
      <c r="H18" s="5">
        <v>500</v>
      </c>
      <c r="I18" s="5" t="s">
        <v>418</v>
      </c>
      <c r="J18" s="5">
        <v>500</v>
      </c>
      <c r="K18" s="5" t="s">
        <v>418</v>
      </c>
      <c r="L18" s="5">
        <v>500</v>
      </c>
      <c r="M18" s="5" t="s">
        <v>418</v>
      </c>
      <c r="N18" s="5">
        <v>500</v>
      </c>
      <c r="O18" s="5" t="s">
        <v>418</v>
      </c>
      <c r="P18" s="5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B76D-F7D6-48B9-999F-328CA5682E4D}">
  <dimension ref="G5:H10"/>
  <sheetViews>
    <sheetView workbookViewId="0">
      <selection activeCell="H17" sqref="H17"/>
    </sheetView>
  </sheetViews>
  <sheetFormatPr defaultRowHeight="14.4" x14ac:dyDescent="0.3"/>
  <cols>
    <col min="7" max="7" width="35.109375" customWidth="1"/>
    <col min="8" max="8" width="22.77734375" customWidth="1"/>
    <col min="9" max="9" width="15.5546875" customWidth="1"/>
    <col min="10" max="10" width="10.33203125" customWidth="1"/>
  </cols>
  <sheetData>
    <row r="5" spans="7:8" x14ac:dyDescent="0.3">
      <c r="G5" t="s">
        <v>424</v>
      </c>
      <c r="H5" t="s">
        <v>425</v>
      </c>
    </row>
    <row r="6" spans="7:8" x14ac:dyDescent="0.3">
      <c r="G6" t="s">
        <v>420</v>
      </c>
      <c r="H6">
        <v>23352</v>
      </c>
    </row>
    <row r="7" spans="7:8" x14ac:dyDescent="0.3">
      <c r="G7" t="s">
        <v>421</v>
      </c>
      <c r="H7">
        <v>320405</v>
      </c>
    </row>
    <row r="8" spans="7:8" x14ac:dyDescent="0.3">
      <c r="G8" t="s">
        <v>422</v>
      </c>
      <c r="H8" s="2">
        <v>3651.3739999999998</v>
      </c>
    </row>
    <row r="9" spans="7:8" x14ac:dyDescent="0.3">
      <c r="G9" t="s">
        <v>423</v>
      </c>
      <c r="H9">
        <v>640.80999999999995</v>
      </c>
    </row>
    <row r="10" spans="7:8" x14ac:dyDescent="0.3">
      <c r="G10" t="s">
        <v>426</v>
      </c>
      <c r="H10">
        <f>COUNT('Population-group  Wise Deposits'!A:A)</f>
        <v>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EBFB-D1D9-40A0-BA54-5681347D6B5B}">
  <dimension ref="B3:I356"/>
  <sheetViews>
    <sheetView tabSelected="1" workbookViewId="0">
      <selection activeCell="L14" sqref="L14"/>
    </sheetView>
  </sheetViews>
  <sheetFormatPr defaultRowHeight="14.4" x14ac:dyDescent="0.3"/>
  <cols>
    <col min="2" max="2" width="25.109375" bestFit="1" customWidth="1"/>
    <col min="3" max="3" width="26.109375" bestFit="1" customWidth="1"/>
    <col min="5" max="5" width="22.5546875" bestFit="1" customWidth="1"/>
    <col min="6" max="6" width="32.77734375" bestFit="1" customWidth="1"/>
    <col min="8" max="8" width="18" bestFit="1" customWidth="1"/>
    <col min="9" max="9" width="26.44140625" bestFit="1" customWidth="1"/>
  </cols>
  <sheetData>
    <row r="3" spans="2:9" x14ac:dyDescent="0.3">
      <c r="B3" s="16" t="s">
        <v>429</v>
      </c>
      <c r="C3" s="15"/>
      <c r="E3" s="16" t="s">
        <v>433</v>
      </c>
      <c r="F3" s="15"/>
      <c r="H3" s="16" t="s">
        <v>436</v>
      </c>
      <c r="I3" s="15"/>
    </row>
    <row r="6" spans="2:9" x14ac:dyDescent="0.3">
      <c r="B6" s="13" t="s">
        <v>431</v>
      </c>
      <c r="C6" t="s">
        <v>427</v>
      </c>
      <c r="E6" s="13" t="s">
        <v>432</v>
      </c>
      <c r="F6" t="s">
        <v>430</v>
      </c>
      <c r="H6" s="13" t="s">
        <v>435</v>
      </c>
      <c r="I6" t="s">
        <v>434</v>
      </c>
    </row>
    <row r="7" spans="2:9" x14ac:dyDescent="0.3">
      <c r="B7" s="14" t="s">
        <v>274</v>
      </c>
      <c r="C7" s="12">
        <v>44</v>
      </c>
      <c r="E7" s="14" t="s">
        <v>303</v>
      </c>
      <c r="F7" s="12">
        <v>0</v>
      </c>
      <c r="H7" s="14" t="s">
        <v>17</v>
      </c>
      <c r="I7" s="2">
        <v>46686.944444444445</v>
      </c>
    </row>
    <row r="8" spans="2:9" x14ac:dyDescent="0.3">
      <c r="B8" s="14" t="s">
        <v>58</v>
      </c>
      <c r="C8" s="12">
        <v>1224</v>
      </c>
      <c r="E8" s="14" t="s">
        <v>62</v>
      </c>
      <c r="F8" s="12">
        <v>1830</v>
      </c>
      <c r="H8" s="14" t="s">
        <v>13</v>
      </c>
      <c r="I8" s="2">
        <v>1188.4298245614036</v>
      </c>
    </row>
    <row r="9" spans="2:9" x14ac:dyDescent="0.3">
      <c r="B9" s="14" t="s">
        <v>81</v>
      </c>
      <c r="C9" s="12">
        <v>10</v>
      </c>
      <c r="E9" s="14" t="s">
        <v>35</v>
      </c>
      <c r="F9" s="12">
        <v>13985</v>
      </c>
      <c r="H9" s="14" t="s">
        <v>3</v>
      </c>
      <c r="I9" s="2">
        <v>1933.4662921348315</v>
      </c>
    </row>
    <row r="10" spans="2:9" x14ac:dyDescent="0.3">
      <c r="B10" s="14" t="s">
        <v>10</v>
      </c>
      <c r="C10" s="12">
        <v>378</v>
      </c>
      <c r="E10" s="14" t="s">
        <v>145</v>
      </c>
      <c r="F10" s="12">
        <v>4797</v>
      </c>
      <c r="H10" s="14" t="s">
        <v>27</v>
      </c>
      <c r="I10" s="2">
        <v>4871.0921052631575</v>
      </c>
    </row>
    <row r="11" spans="2:9" x14ac:dyDescent="0.3">
      <c r="B11" s="14" t="s">
        <v>4</v>
      </c>
      <c r="C11" s="12">
        <v>959</v>
      </c>
      <c r="E11" s="14" t="s">
        <v>156</v>
      </c>
      <c r="F11" s="12">
        <v>0</v>
      </c>
      <c r="H11" s="14" t="s">
        <v>428</v>
      </c>
      <c r="I11" s="2">
        <v>3651.3739999999998</v>
      </c>
    </row>
    <row r="12" spans="2:9" x14ac:dyDescent="0.3">
      <c r="B12" s="14" t="s">
        <v>328</v>
      </c>
      <c r="C12" s="12">
        <v>448</v>
      </c>
      <c r="E12" s="14" t="s">
        <v>94</v>
      </c>
      <c r="F12" s="12">
        <v>739</v>
      </c>
    </row>
    <row r="13" spans="2:9" x14ac:dyDescent="0.3">
      <c r="B13" s="14" t="s">
        <v>65</v>
      </c>
      <c r="C13" s="12">
        <v>460</v>
      </c>
      <c r="E13" s="14" t="s">
        <v>249</v>
      </c>
      <c r="F13" s="12">
        <v>0</v>
      </c>
    </row>
    <row r="14" spans="2:9" x14ac:dyDescent="0.3">
      <c r="B14" s="14" t="s">
        <v>18</v>
      </c>
      <c r="C14" s="12">
        <v>30</v>
      </c>
      <c r="E14" s="14" t="s">
        <v>128</v>
      </c>
      <c r="F14" s="12">
        <v>2251</v>
      </c>
      <c r="H14" s="16" t="s">
        <v>439</v>
      </c>
      <c r="I14" s="15"/>
    </row>
    <row r="15" spans="2:9" x14ac:dyDescent="0.3">
      <c r="B15" s="14" t="s">
        <v>316</v>
      </c>
      <c r="C15" s="12">
        <v>281</v>
      </c>
      <c r="E15" s="14" t="s">
        <v>198</v>
      </c>
      <c r="F15" s="12">
        <v>0</v>
      </c>
    </row>
    <row r="16" spans="2:9" x14ac:dyDescent="0.3">
      <c r="B16" s="14" t="s">
        <v>23</v>
      </c>
      <c r="C16" s="12">
        <v>3155</v>
      </c>
      <c r="E16" s="14" t="s">
        <v>138</v>
      </c>
      <c r="F16" s="12">
        <v>0</v>
      </c>
      <c r="H16" s="13" t="s">
        <v>438</v>
      </c>
      <c r="I16" t="s">
        <v>437</v>
      </c>
    </row>
    <row r="17" spans="2:9" x14ac:dyDescent="0.3">
      <c r="B17" s="14" t="s">
        <v>60</v>
      </c>
      <c r="C17" s="12">
        <v>741</v>
      </c>
      <c r="E17" s="14" t="s">
        <v>187</v>
      </c>
      <c r="F17" s="12">
        <v>2355</v>
      </c>
      <c r="H17" s="14" t="s">
        <v>2</v>
      </c>
      <c r="I17" s="1">
        <v>4522</v>
      </c>
    </row>
    <row r="18" spans="2:9" x14ac:dyDescent="0.3">
      <c r="B18" s="14" t="s">
        <v>87</v>
      </c>
      <c r="C18" s="12">
        <v>477</v>
      </c>
      <c r="E18" s="14" t="s">
        <v>49</v>
      </c>
      <c r="F18" s="12">
        <v>1350</v>
      </c>
      <c r="H18" s="14" t="s">
        <v>6</v>
      </c>
      <c r="I18" s="1">
        <v>3569</v>
      </c>
    </row>
    <row r="19" spans="2:9" x14ac:dyDescent="0.3">
      <c r="B19" s="14" t="s">
        <v>70</v>
      </c>
      <c r="C19" s="12">
        <v>375</v>
      </c>
      <c r="E19" s="14" t="s">
        <v>367</v>
      </c>
      <c r="F19" s="12">
        <v>620</v>
      </c>
      <c r="H19" s="14" t="s">
        <v>12</v>
      </c>
      <c r="I19" s="1">
        <v>612</v>
      </c>
    </row>
    <row r="20" spans="2:9" x14ac:dyDescent="0.3">
      <c r="B20" s="14" t="s">
        <v>79</v>
      </c>
      <c r="C20" s="12">
        <v>283</v>
      </c>
      <c r="E20" s="14" t="s">
        <v>122</v>
      </c>
      <c r="F20" s="12">
        <v>1559</v>
      </c>
      <c r="H20" s="14" t="s">
        <v>20</v>
      </c>
      <c r="I20" s="1">
        <v>4210</v>
      </c>
    </row>
    <row r="21" spans="2:9" x14ac:dyDescent="0.3">
      <c r="B21" s="14" t="s">
        <v>41</v>
      </c>
      <c r="C21" s="12">
        <v>431</v>
      </c>
      <c r="E21" s="14" t="s">
        <v>251</v>
      </c>
      <c r="F21" s="12">
        <v>0</v>
      </c>
      <c r="H21" s="14" t="s">
        <v>9</v>
      </c>
      <c r="I21" s="1">
        <v>5469</v>
      </c>
    </row>
    <row r="22" spans="2:9" x14ac:dyDescent="0.3">
      <c r="B22" s="14" t="s">
        <v>30</v>
      </c>
      <c r="C22" s="12">
        <v>416</v>
      </c>
      <c r="E22" s="14" t="s">
        <v>216</v>
      </c>
      <c r="F22" s="12">
        <v>1171</v>
      </c>
      <c r="H22" s="14" t="s">
        <v>25</v>
      </c>
      <c r="I22" s="1">
        <v>4970</v>
      </c>
    </row>
    <row r="23" spans="2:9" x14ac:dyDescent="0.3">
      <c r="B23" s="14" t="s">
        <v>295</v>
      </c>
      <c r="C23" s="12">
        <v>7</v>
      </c>
      <c r="E23" s="14" t="s">
        <v>290</v>
      </c>
      <c r="F23" s="12">
        <v>2549</v>
      </c>
      <c r="H23" s="14" t="s">
        <v>428</v>
      </c>
      <c r="I23" s="1">
        <v>23352</v>
      </c>
    </row>
    <row r="24" spans="2:9" x14ac:dyDescent="0.3">
      <c r="B24" s="14" t="s">
        <v>38</v>
      </c>
      <c r="C24" s="12">
        <v>1056</v>
      </c>
      <c r="E24" s="14" t="s">
        <v>244</v>
      </c>
      <c r="F24" s="12">
        <v>975</v>
      </c>
    </row>
    <row r="25" spans="2:9" x14ac:dyDescent="0.3">
      <c r="B25" s="14" t="s">
        <v>53</v>
      </c>
      <c r="C25" s="12">
        <v>1534</v>
      </c>
      <c r="E25" s="14" t="s">
        <v>283</v>
      </c>
      <c r="F25" s="12">
        <v>536</v>
      </c>
    </row>
    <row r="26" spans="2:9" x14ac:dyDescent="0.3">
      <c r="B26" s="14" t="s">
        <v>32</v>
      </c>
      <c r="C26" s="12">
        <v>12</v>
      </c>
      <c r="E26" s="14" t="s">
        <v>174</v>
      </c>
      <c r="F26" s="12">
        <v>0</v>
      </c>
    </row>
    <row r="27" spans="2:9" x14ac:dyDescent="0.3">
      <c r="B27" s="14" t="s">
        <v>63</v>
      </c>
      <c r="C27" s="12">
        <v>23</v>
      </c>
      <c r="E27" s="14" t="s">
        <v>240</v>
      </c>
      <c r="F27" s="12">
        <v>1289</v>
      </c>
    </row>
    <row r="28" spans="2:9" x14ac:dyDescent="0.3">
      <c r="B28" s="14" t="s">
        <v>136</v>
      </c>
      <c r="C28" s="12">
        <v>14</v>
      </c>
      <c r="E28" s="14" t="s">
        <v>377</v>
      </c>
      <c r="F28" s="12">
        <v>0</v>
      </c>
    </row>
    <row r="29" spans="2:9" x14ac:dyDescent="0.3">
      <c r="B29" s="14" t="s">
        <v>74</v>
      </c>
      <c r="C29" s="12">
        <v>54</v>
      </c>
      <c r="E29" s="14" t="s">
        <v>157</v>
      </c>
      <c r="F29" s="12">
        <v>706</v>
      </c>
    </row>
    <row r="30" spans="2:9" x14ac:dyDescent="0.3">
      <c r="B30" s="14" t="s">
        <v>14</v>
      </c>
      <c r="C30" s="12">
        <v>970</v>
      </c>
      <c r="E30" s="14" t="s">
        <v>102</v>
      </c>
      <c r="F30" s="12">
        <v>553</v>
      </c>
    </row>
    <row r="31" spans="2:9" x14ac:dyDescent="0.3">
      <c r="B31" s="14" t="s">
        <v>89</v>
      </c>
      <c r="C31" s="12">
        <v>0</v>
      </c>
      <c r="E31" s="14" t="s">
        <v>376</v>
      </c>
      <c r="F31" s="12">
        <v>0</v>
      </c>
    </row>
    <row r="32" spans="2:9" x14ac:dyDescent="0.3">
      <c r="B32" s="14" t="s">
        <v>44</v>
      </c>
      <c r="C32" s="12">
        <v>777</v>
      </c>
      <c r="E32" s="14" t="s">
        <v>335</v>
      </c>
      <c r="F32" s="12">
        <v>0</v>
      </c>
    </row>
    <row r="33" spans="2:6" x14ac:dyDescent="0.3">
      <c r="B33" s="14" t="s">
        <v>77</v>
      </c>
      <c r="C33" s="12">
        <v>1362</v>
      </c>
      <c r="E33" s="14" t="s">
        <v>219</v>
      </c>
      <c r="F33" s="12">
        <v>0</v>
      </c>
    </row>
    <row r="34" spans="2:6" x14ac:dyDescent="0.3">
      <c r="B34" s="14" t="s">
        <v>344</v>
      </c>
      <c r="C34" s="12">
        <v>0</v>
      </c>
      <c r="E34" s="14" t="s">
        <v>15</v>
      </c>
      <c r="F34" s="12">
        <v>2623</v>
      </c>
    </row>
    <row r="35" spans="2:6" x14ac:dyDescent="0.3">
      <c r="B35" s="14" t="s">
        <v>7</v>
      </c>
      <c r="C35" s="12">
        <v>2823</v>
      </c>
      <c r="E35" s="14" t="s">
        <v>160</v>
      </c>
      <c r="F35" s="12">
        <v>3170</v>
      </c>
    </row>
    <row r="36" spans="2:6" x14ac:dyDescent="0.3">
      <c r="B36" s="14" t="s">
        <v>28</v>
      </c>
      <c r="C36" s="12">
        <v>568</v>
      </c>
      <c r="E36" s="14" t="s">
        <v>99</v>
      </c>
      <c r="F36" s="12">
        <v>0</v>
      </c>
    </row>
    <row r="37" spans="2:6" x14ac:dyDescent="0.3">
      <c r="B37" s="14" t="s">
        <v>196</v>
      </c>
      <c r="C37" s="12">
        <v>121</v>
      </c>
      <c r="E37" s="14" t="s">
        <v>301</v>
      </c>
      <c r="F37" s="12">
        <v>0</v>
      </c>
    </row>
    <row r="38" spans="2:6" x14ac:dyDescent="0.3">
      <c r="B38" s="14" t="s">
        <v>0</v>
      </c>
      <c r="C38" s="12">
        <v>2845</v>
      </c>
      <c r="E38" s="14" t="s">
        <v>270</v>
      </c>
      <c r="F38" s="12">
        <v>1266</v>
      </c>
    </row>
    <row r="39" spans="2:6" x14ac:dyDescent="0.3">
      <c r="B39" s="14" t="s">
        <v>56</v>
      </c>
      <c r="C39" s="12">
        <v>161</v>
      </c>
      <c r="E39" s="14" t="s">
        <v>1</v>
      </c>
      <c r="F39" s="12">
        <v>610</v>
      </c>
    </row>
    <row r="40" spans="2:6" x14ac:dyDescent="0.3">
      <c r="B40" s="14" t="s">
        <v>21</v>
      </c>
      <c r="C40" s="12">
        <v>1313</v>
      </c>
      <c r="E40" s="14" t="s">
        <v>139</v>
      </c>
      <c r="F40" s="12">
        <v>3243</v>
      </c>
    </row>
    <row r="41" spans="2:6" x14ac:dyDescent="0.3">
      <c r="B41" s="14" t="s">
        <v>428</v>
      </c>
      <c r="C41" s="12">
        <v>23352</v>
      </c>
      <c r="E41" s="14" t="s">
        <v>95</v>
      </c>
      <c r="F41" s="12">
        <v>0</v>
      </c>
    </row>
    <row r="42" spans="2:6" x14ac:dyDescent="0.3">
      <c r="E42" s="14" t="s">
        <v>141</v>
      </c>
      <c r="F42" s="12">
        <v>0</v>
      </c>
    </row>
    <row r="43" spans="2:6" x14ac:dyDescent="0.3">
      <c r="E43" s="14" t="s">
        <v>339</v>
      </c>
      <c r="F43" s="12">
        <v>2449</v>
      </c>
    </row>
    <row r="44" spans="2:6" x14ac:dyDescent="0.3">
      <c r="E44" s="14" t="s">
        <v>78</v>
      </c>
      <c r="F44" s="12">
        <v>0</v>
      </c>
    </row>
    <row r="45" spans="2:6" x14ac:dyDescent="0.3">
      <c r="E45" s="14" t="s">
        <v>266</v>
      </c>
      <c r="F45" s="12">
        <v>0</v>
      </c>
    </row>
    <row r="46" spans="2:6" x14ac:dyDescent="0.3">
      <c r="E46" s="14" t="s">
        <v>50</v>
      </c>
      <c r="F46" s="12">
        <v>2311</v>
      </c>
    </row>
    <row r="47" spans="2:6" x14ac:dyDescent="0.3">
      <c r="E47" s="14" t="s">
        <v>271</v>
      </c>
      <c r="F47" s="12">
        <v>0</v>
      </c>
    </row>
    <row r="48" spans="2:6" x14ac:dyDescent="0.3">
      <c r="E48" s="14" t="s">
        <v>265</v>
      </c>
      <c r="F48" s="12">
        <v>1400</v>
      </c>
    </row>
    <row r="49" spans="5:6" x14ac:dyDescent="0.3">
      <c r="E49" s="14" t="s">
        <v>234</v>
      </c>
      <c r="F49" s="12">
        <v>1287</v>
      </c>
    </row>
    <row r="50" spans="5:6" x14ac:dyDescent="0.3">
      <c r="E50" s="14" t="s">
        <v>205</v>
      </c>
      <c r="F50" s="12">
        <v>943</v>
      </c>
    </row>
    <row r="51" spans="5:6" x14ac:dyDescent="0.3">
      <c r="E51" s="14" t="s">
        <v>245</v>
      </c>
      <c r="F51" s="12">
        <v>0</v>
      </c>
    </row>
    <row r="52" spans="5:6" x14ac:dyDescent="0.3">
      <c r="E52" s="14" t="s">
        <v>349</v>
      </c>
      <c r="F52" s="12">
        <v>5618</v>
      </c>
    </row>
    <row r="53" spans="5:6" x14ac:dyDescent="0.3">
      <c r="E53" s="14" t="s">
        <v>281</v>
      </c>
      <c r="F53" s="12">
        <v>0</v>
      </c>
    </row>
    <row r="54" spans="5:6" x14ac:dyDescent="0.3">
      <c r="E54" s="14" t="s">
        <v>286</v>
      </c>
      <c r="F54" s="12">
        <v>1404</v>
      </c>
    </row>
    <row r="55" spans="5:6" x14ac:dyDescent="0.3">
      <c r="E55" s="14" t="s">
        <v>69</v>
      </c>
      <c r="F55" s="12">
        <v>144</v>
      </c>
    </row>
    <row r="56" spans="5:6" x14ac:dyDescent="0.3">
      <c r="E56" s="14" t="s">
        <v>374</v>
      </c>
      <c r="F56" s="12">
        <v>0</v>
      </c>
    </row>
    <row r="57" spans="5:6" x14ac:dyDescent="0.3">
      <c r="E57" s="14" t="s">
        <v>192</v>
      </c>
      <c r="F57" s="12">
        <v>498</v>
      </c>
    </row>
    <row r="58" spans="5:6" x14ac:dyDescent="0.3">
      <c r="E58" s="14" t="s">
        <v>297</v>
      </c>
      <c r="F58" s="12">
        <v>1424</v>
      </c>
    </row>
    <row r="59" spans="5:6" x14ac:dyDescent="0.3">
      <c r="E59" s="14" t="s">
        <v>312</v>
      </c>
      <c r="F59" s="12">
        <v>0</v>
      </c>
    </row>
    <row r="60" spans="5:6" x14ac:dyDescent="0.3">
      <c r="E60" s="14" t="s">
        <v>332</v>
      </c>
      <c r="F60" s="12">
        <v>157</v>
      </c>
    </row>
    <row r="61" spans="5:6" x14ac:dyDescent="0.3">
      <c r="E61" s="14" t="s">
        <v>180</v>
      </c>
      <c r="F61" s="12">
        <v>172</v>
      </c>
    </row>
    <row r="62" spans="5:6" x14ac:dyDescent="0.3">
      <c r="E62" s="14" t="s">
        <v>298</v>
      </c>
      <c r="F62" s="12">
        <v>0</v>
      </c>
    </row>
    <row r="63" spans="5:6" x14ac:dyDescent="0.3">
      <c r="E63" s="14" t="s">
        <v>311</v>
      </c>
      <c r="F63" s="12">
        <v>304</v>
      </c>
    </row>
    <row r="64" spans="5:6" x14ac:dyDescent="0.3">
      <c r="E64" s="14" t="s">
        <v>358</v>
      </c>
      <c r="F64" s="12">
        <v>0</v>
      </c>
    </row>
    <row r="65" spans="5:6" x14ac:dyDescent="0.3">
      <c r="E65" s="14" t="s">
        <v>369</v>
      </c>
      <c r="F65" s="12">
        <v>0</v>
      </c>
    </row>
    <row r="66" spans="5:6" x14ac:dyDescent="0.3">
      <c r="E66" s="14" t="s">
        <v>52</v>
      </c>
      <c r="F66" s="12">
        <v>0</v>
      </c>
    </row>
    <row r="67" spans="5:6" x14ac:dyDescent="0.3">
      <c r="E67" s="14" t="s">
        <v>109</v>
      </c>
      <c r="F67" s="12">
        <v>574</v>
      </c>
    </row>
    <row r="68" spans="5:6" x14ac:dyDescent="0.3">
      <c r="E68" s="14" t="s">
        <v>328</v>
      </c>
      <c r="F68" s="12">
        <v>4301</v>
      </c>
    </row>
    <row r="69" spans="5:6" x14ac:dyDescent="0.3">
      <c r="E69" s="14" t="s">
        <v>129</v>
      </c>
      <c r="F69" s="12">
        <v>0</v>
      </c>
    </row>
    <row r="70" spans="5:6" x14ac:dyDescent="0.3">
      <c r="E70" s="14" t="s">
        <v>146</v>
      </c>
      <c r="F70" s="12">
        <v>157</v>
      </c>
    </row>
    <row r="71" spans="5:6" x14ac:dyDescent="0.3">
      <c r="E71" s="14" t="s">
        <v>373</v>
      </c>
      <c r="F71" s="12">
        <v>0</v>
      </c>
    </row>
    <row r="72" spans="5:6" x14ac:dyDescent="0.3">
      <c r="E72" s="14" t="s">
        <v>199</v>
      </c>
      <c r="F72" s="12">
        <v>0</v>
      </c>
    </row>
    <row r="73" spans="5:6" x14ac:dyDescent="0.3">
      <c r="E73" s="14" t="s">
        <v>313</v>
      </c>
      <c r="F73" s="12">
        <v>198</v>
      </c>
    </row>
    <row r="74" spans="5:6" x14ac:dyDescent="0.3">
      <c r="E74" s="14" t="s">
        <v>195</v>
      </c>
      <c r="F74" s="12">
        <v>688</v>
      </c>
    </row>
    <row r="75" spans="5:6" x14ac:dyDescent="0.3">
      <c r="E75" s="14" t="s">
        <v>112</v>
      </c>
      <c r="F75" s="12">
        <v>2586</v>
      </c>
    </row>
    <row r="76" spans="5:6" x14ac:dyDescent="0.3">
      <c r="E76" s="14" t="s">
        <v>186</v>
      </c>
      <c r="F76" s="12">
        <v>0</v>
      </c>
    </row>
    <row r="77" spans="5:6" x14ac:dyDescent="0.3">
      <c r="E77" s="14" t="s">
        <v>359</v>
      </c>
      <c r="F77" s="12">
        <v>0</v>
      </c>
    </row>
    <row r="78" spans="5:6" x14ac:dyDescent="0.3">
      <c r="E78" s="14" t="s">
        <v>72</v>
      </c>
      <c r="F78" s="12">
        <v>12862</v>
      </c>
    </row>
    <row r="79" spans="5:6" x14ac:dyDescent="0.3">
      <c r="E79" s="14" t="s">
        <v>224</v>
      </c>
      <c r="F79" s="12">
        <v>0</v>
      </c>
    </row>
    <row r="80" spans="5:6" x14ac:dyDescent="0.3">
      <c r="E80" s="14" t="s">
        <v>217</v>
      </c>
      <c r="F80" s="12">
        <v>0</v>
      </c>
    </row>
    <row r="81" spans="5:6" x14ac:dyDescent="0.3">
      <c r="E81" s="14" t="s">
        <v>209</v>
      </c>
      <c r="F81" s="12">
        <v>0</v>
      </c>
    </row>
    <row r="82" spans="5:6" x14ac:dyDescent="0.3">
      <c r="E82" s="14" t="s">
        <v>178</v>
      </c>
      <c r="F82" s="12">
        <v>179</v>
      </c>
    </row>
    <row r="83" spans="5:6" x14ac:dyDescent="0.3">
      <c r="E83" s="14" t="s">
        <v>294</v>
      </c>
      <c r="F83" s="12">
        <v>159</v>
      </c>
    </row>
    <row r="84" spans="5:6" x14ac:dyDescent="0.3">
      <c r="E84" s="14" t="s">
        <v>120</v>
      </c>
      <c r="F84" s="12">
        <v>0</v>
      </c>
    </row>
    <row r="85" spans="5:6" x14ac:dyDescent="0.3">
      <c r="E85" s="14" t="s">
        <v>133</v>
      </c>
      <c r="F85" s="12">
        <v>736</v>
      </c>
    </row>
    <row r="86" spans="5:6" x14ac:dyDescent="0.3">
      <c r="E86" s="14" t="s">
        <v>57</v>
      </c>
      <c r="F86" s="12">
        <v>0</v>
      </c>
    </row>
    <row r="87" spans="5:6" x14ac:dyDescent="0.3">
      <c r="E87" s="14" t="s">
        <v>331</v>
      </c>
      <c r="F87" s="12">
        <v>187</v>
      </c>
    </row>
    <row r="88" spans="5:6" x14ac:dyDescent="0.3">
      <c r="E88" s="14" t="s">
        <v>370</v>
      </c>
      <c r="F88" s="12">
        <v>0</v>
      </c>
    </row>
    <row r="89" spans="5:6" x14ac:dyDescent="0.3">
      <c r="E89" s="14" t="s">
        <v>259</v>
      </c>
      <c r="F89" s="12">
        <v>749</v>
      </c>
    </row>
    <row r="90" spans="5:6" x14ac:dyDescent="0.3">
      <c r="E90" s="14" t="s">
        <v>347</v>
      </c>
      <c r="F90" s="12">
        <v>332</v>
      </c>
    </row>
    <row r="91" spans="5:6" x14ac:dyDescent="0.3">
      <c r="E91" s="14" t="s">
        <v>110</v>
      </c>
      <c r="F91" s="12">
        <v>0</v>
      </c>
    </row>
    <row r="92" spans="5:6" x14ac:dyDescent="0.3">
      <c r="E92" s="14" t="s">
        <v>210</v>
      </c>
      <c r="F92" s="12">
        <v>309</v>
      </c>
    </row>
    <row r="93" spans="5:6" x14ac:dyDescent="0.3">
      <c r="E93" s="14" t="s">
        <v>54</v>
      </c>
      <c r="F93" s="12">
        <v>907</v>
      </c>
    </row>
    <row r="94" spans="5:6" x14ac:dyDescent="0.3">
      <c r="E94" s="14" t="s">
        <v>104</v>
      </c>
      <c r="F94" s="12">
        <v>3982</v>
      </c>
    </row>
    <row r="95" spans="5:6" x14ac:dyDescent="0.3">
      <c r="E95" s="14" t="s">
        <v>190</v>
      </c>
      <c r="F95" s="12">
        <v>0</v>
      </c>
    </row>
    <row r="96" spans="5:6" x14ac:dyDescent="0.3">
      <c r="E96" s="14" t="s">
        <v>71</v>
      </c>
      <c r="F96" s="12">
        <v>234</v>
      </c>
    </row>
    <row r="97" spans="5:6" x14ac:dyDescent="0.3">
      <c r="E97" s="14" t="s">
        <v>260</v>
      </c>
      <c r="F97" s="12">
        <v>505</v>
      </c>
    </row>
    <row r="98" spans="5:6" x14ac:dyDescent="0.3">
      <c r="E98" s="14" t="s">
        <v>179</v>
      </c>
      <c r="F98" s="12">
        <v>0</v>
      </c>
    </row>
    <row r="99" spans="5:6" x14ac:dyDescent="0.3">
      <c r="E99" s="14" t="s">
        <v>64</v>
      </c>
      <c r="F99" s="12">
        <v>54</v>
      </c>
    </row>
    <row r="100" spans="5:6" x14ac:dyDescent="0.3">
      <c r="E100" s="14" t="s">
        <v>379</v>
      </c>
      <c r="F100" s="12">
        <v>1209</v>
      </c>
    </row>
    <row r="101" spans="5:6" x14ac:dyDescent="0.3">
      <c r="E101" s="14" t="s">
        <v>308</v>
      </c>
      <c r="F101" s="12">
        <v>412</v>
      </c>
    </row>
    <row r="102" spans="5:6" x14ac:dyDescent="0.3">
      <c r="E102" s="14" t="s">
        <v>255</v>
      </c>
      <c r="F102" s="12">
        <v>1800</v>
      </c>
    </row>
    <row r="103" spans="5:6" x14ac:dyDescent="0.3">
      <c r="E103" s="14" t="s">
        <v>231</v>
      </c>
      <c r="F103" s="12">
        <v>746</v>
      </c>
    </row>
    <row r="104" spans="5:6" x14ac:dyDescent="0.3">
      <c r="E104" s="14" t="s">
        <v>284</v>
      </c>
      <c r="F104" s="12">
        <v>778</v>
      </c>
    </row>
    <row r="105" spans="5:6" x14ac:dyDescent="0.3">
      <c r="E105" s="14" t="s">
        <v>91</v>
      </c>
      <c r="F105" s="12">
        <v>0</v>
      </c>
    </row>
    <row r="106" spans="5:6" x14ac:dyDescent="0.3">
      <c r="E106" s="14" t="s">
        <v>67</v>
      </c>
      <c r="F106" s="12">
        <v>1055</v>
      </c>
    </row>
    <row r="107" spans="5:6" x14ac:dyDescent="0.3">
      <c r="E107" s="14" t="s">
        <v>151</v>
      </c>
      <c r="F107" s="12">
        <v>505</v>
      </c>
    </row>
    <row r="108" spans="5:6" x14ac:dyDescent="0.3">
      <c r="E108" s="14" t="s">
        <v>366</v>
      </c>
      <c r="F108" s="12">
        <v>0</v>
      </c>
    </row>
    <row r="109" spans="5:6" x14ac:dyDescent="0.3">
      <c r="E109" s="14" t="s">
        <v>86</v>
      </c>
      <c r="F109" s="12">
        <v>0</v>
      </c>
    </row>
    <row r="110" spans="5:6" x14ac:dyDescent="0.3">
      <c r="E110" s="14" t="s">
        <v>272</v>
      </c>
      <c r="F110" s="12">
        <v>1391</v>
      </c>
    </row>
    <row r="111" spans="5:6" x14ac:dyDescent="0.3">
      <c r="E111" s="14" t="s">
        <v>100</v>
      </c>
      <c r="F111" s="12">
        <v>2246</v>
      </c>
    </row>
    <row r="112" spans="5:6" x14ac:dyDescent="0.3">
      <c r="E112" s="14" t="s">
        <v>66</v>
      </c>
      <c r="F112" s="12">
        <v>534</v>
      </c>
    </row>
    <row r="113" spans="5:6" x14ac:dyDescent="0.3">
      <c r="E113" s="14" t="s">
        <v>273</v>
      </c>
      <c r="F113" s="12">
        <v>383</v>
      </c>
    </row>
    <row r="114" spans="5:6" x14ac:dyDescent="0.3">
      <c r="E114" s="14" t="s">
        <v>96</v>
      </c>
      <c r="F114" s="12">
        <v>0</v>
      </c>
    </row>
    <row r="115" spans="5:6" x14ac:dyDescent="0.3">
      <c r="E115" s="14" t="s">
        <v>48</v>
      </c>
      <c r="F115" s="12">
        <v>0</v>
      </c>
    </row>
    <row r="116" spans="5:6" x14ac:dyDescent="0.3">
      <c r="E116" s="14" t="s">
        <v>155</v>
      </c>
      <c r="F116" s="12">
        <v>586</v>
      </c>
    </row>
    <row r="117" spans="5:6" x14ac:dyDescent="0.3">
      <c r="E117" s="14" t="s">
        <v>254</v>
      </c>
      <c r="F117" s="12">
        <v>430</v>
      </c>
    </row>
    <row r="118" spans="5:6" x14ac:dyDescent="0.3">
      <c r="E118" s="14" t="s">
        <v>233</v>
      </c>
      <c r="F118" s="12">
        <v>540</v>
      </c>
    </row>
    <row r="119" spans="5:6" x14ac:dyDescent="0.3">
      <c r="E119" s="14" t="s">
        <v>375</v>
      </c>
      <c r="F119" s="12">
        <v>0</v>
      </c>
    </row>
    <row r="120" spans="5:6" x14ac:dyDescent="0.3">
      <c r="E120" s="14" t="s">
        <v>171</v>
      </c>
      <c r="F120" s="12">
        <v>2695</v>
      </c>
    </row>
    <row r="121" spans="5:6" x14ac:dyDescent="0.3">
      <c r="E121" s="14" t="s">
        <v>356</v>
      </c>
      <c r="F121" s="12">
        <v>1365</v>
      </c>
    </row>
    <row r="122" spans="5:6" x14ac:dyDescent="0.3">
      <c r="E122" s="14" t="s">
        <v>144</v>
      </c>
      <c r="F122" s="12">
        <v>529</v>
      </c>
    </row>
    <row r="123" spans="5:6" x14ac:dyDescent="0.3">
      <c r="E123" s="14" t="s">
        <v>202</v>
      </c>
      <c r="F123" s="12">
        <v>1552</v>
      </c>
    </row>
    <row r="124" spans="5:6" x14ac:dyDescent="0.3">
      <c r="E124" s="14" t="s">
        <v>105</v>
      </c>
      <c r="F124" s="12">
        <v>1015</v>
      </c>
    </row>
    <row r="125" spans="5:6" x14ac:dyDescent="0.3">
      <c r="E125" s="14" t="s">
        <v>108</v>
      </c>
      <c r="F125" s="12">
        <v>1027</v>
      </c>
    </row>
    <row r="126" spans="5:6" x14ac:dyDescent="0.3">
      <c r="E126" s="14" t="s">
        <v>111</v>
      </c>
      <c r="F126" s="12">
        <v>525</v>
      </c>
    </row>
    <row r="127" spans="5:6" x14ac:dyDescent="0.3">
      <c r="E127" s="14" t="s">
        <v>93</v>
      </c>
      <c r="F127" s="12">
        <v>342</v>
      </c>
    </row>
    <row r="128" spans="5:6" x14ac:dyDescent="0.3">
      <c r="E128" s="14" t="s">
        <v>214</v>
      </c>
      <c r="F128" s="12">
        <v>2824</v>
      </c>
    </row>
    <row r="129" spans="5:6" x14ac:dyDescent="0.3">
      <c r="E129" s="14" t="s">
        <v>343</v>
      </c>
      <c r="F129" s="12">
        <v>573</v>
      </c>
    </row>
    <row r="130" spans="5:6" x14ac:dyDescent="0.3">
      <c r="E130" s="14" t="s">
        <v>354</v>
      </c>
      <c r="F130" s="12">
        <v>0</v>
      </c>
    </row>
    <row r="131" spans="5:6" x14ac:dyDescent="0.3">
      <c r="E131" s="14" t="s">
        <v>342</v>
      </c>
      <c r="F131" s="12">
        <v>0</v>
      </c>
    </row>
    <row r="132" spans="5:6" x14ac:dyDescent="0.3">
      <c r="E132" s="14" t="s">
        <v>218</v>
      </c>
      <c r="F132" s="12">
        <v>790</v>
      </c>
    </row>
    <row r="133" spans="5:6" x14ac:dyDescent="0.3">
      <c r="E133" s="14" t="s">
        <v>246</v>
      </c>
      <c r="F133" s="12">
        <v>366</v>
      </c>
    </row>
    <row r="134" spans="5:6" x14ac:dyDescent="0.3">
      <c r="E134" s="14" t="s">
        <v>263</v>
      </c>
      <c r="F134" s="12">
        <v>8363</v>
      </c>
    </row>
    <row r="135" spans="5:6" x14ac:dyDescent="0.3">
      <c r="E135" s="14" t="s">
        <v>101</v>
      </c>
      <c r="F135" s="12">
        <v>0</v>
      </c>
    </row>
    <row r="136" spans="5:6" x14ac:dyDescent="0.3">
      <c r="E136" s="14" t="s">
        <v>92</v>
      </c>
      <c r="F136" s="12">
        <v>0</v>
      </c>
    </row>
    <row r="137" spans="5:6" x14ac:dyDescent="0.3">
      <c r="E137" s="14" t="s">
        <v>315</v>
      </c>
      <c r="F137" s="12">
        <v>0</v>
      </c>
    </row>
    <row r="138" spans="5:6" x14ac:dyDescent="0.3">
      <c r="E138" s="14" t="s">
        <v>177</v>
      </c>
      <c r="F138" s="12">
        <v>1758</v>
      </c>
    </row>
    <row r="139" spans="5:6" x14ac:dyDescent="0.3">
      <c r="E139" s="14" t="s">
        <v>292</v>
      </c>
      <c r="F139" s="12">
        <v>3838</v>
      </c>
    </row>
    <row r="140" spans="5:6" x14ac:dyDescent="0.3">
      <c r="E140" s="14" t="s">
        <v>203</v>
      </c>
      <c r="F140" s="12">
        <v>1398</v>
      </c>
    </row>
    <row r="141" spans="5:6" x14ac:dyDescent="0.3">
      <c r="E141" s="14" t="s">
        <v>235</v>
      </c>
      <c r="F141" s="12">
        <v>308</v>
      </c>
    </row>
    <row r="142" spans="5:6" x14ac:dyDescent="0.3">
      <c r="E142" s="14" t="s">
        <v>124</v>
      </c>
      <c r="F142" s="12">
        <v>2363</v>
      </c>
    </row>
    <row r="143" spans="5:6" x14ac:dyDescent="0.3">
      <c r="E143" s="14" t="s">
        <v>341</v>
      </c>
      <c r="F143" s="12">
        <v>700</v>
      </c>
    </row>
    <row r="144" spans="5:6" x14ac:dyDescent="0.3">
      <c r="E144" s="14" t="s">
        <v>264</v>
      </c>
      <c r="F144" s="12">
        <v>776</v>
      </c>
    </row>
    <row r="145" spans="5:6" x14ac:dyDescent="0.3">
      <c r="E145" s="14" t="s">
        <v>40</v>
      </c>
      <c r="F145" s="12">
        <v>0</v>
      </c>
    </row>
    <row r="146" spans="5:6" x14ac:dyDescent="0.3">
      <c r="E146" s="14" t="s">
        <v>232</v>
      </c>
      <c r="F146" s="12">
        <v>0</v>
      </c>
    </row>
    <row r="147" spans="5:6" x14ac:dyDescent="0.3">
      <c r="E147" s="14" t="s">
        <v>147</v>
      </c>
      <c r="F147" s="12">
        <v>711</v>
      </c>
    </row>
    <row r="148" spans="5:6" x14ac:dyDescent="0.3">
      <c r="E148" s="14" t="s">
        <v>327</v>
      </c>
      <c r="F148" s="12">
        <v>426</v>
      </c>
    </row>
    <row r="149" spans="5:6" x14ac:dyDescent="0.3">
      <c r="E149" s="14" t="s">
        <v>325</v>
      </c>
      <c r="F149" s="12">
        <v>784</v>
      </c>
    </row>
    <row r="150" spans="5:6" x14ac:dyDescent="0.3">
      <c r="E150" s="14" t="s">
        <v>164</v>
      </c>
      <c r="F150" s="12">
        <v>337</v>
      </c>
    </row>
    <row r="151" spans="5:6" x14ac:dyDescent="0.3">
      <c r="E151" s="14" t="s">
        <v>299</v>
      </c>
      <c r="F151" s="12">
        <v>0</v>
      </c>
    </row>
    <row r="152" spans="5:6" x14ac:dyDescent="0.3">
      <c r="E152" s="14" t="s">
        <v>306</v>
      </c>
      <c r="F152" s="12">
        <v>663</v>
      </c>
    </row>
    <row r="153" spans="5:6" x14ac:dyDescent="0.3">
      <c r="E153" s="14" t="s">
        <v>8</v>
      </c>
      <c r="F153" s="12">
        <v>0</v>
      </c>
    </row>
    <row r="154" spans="5:6" x14ac:dyDescent="0.3">
      <c r="E154" s="14" t="s">
        <v>55</v>
      </c>
      <c r="F154" s="12">
        <v>1320</v>
      </c>
    </row>
    <row r="155" spans="5:6" x14ac:dyDescent="0.3">
      <c r="E155" s="14" t="s">
        <v>154</v>
      </c>
      <c r="F155" s="12">
        <v>0</v>
      </c>
    </row>
    <row r="156" spans="5:6" x14ac:dyDescent="0.3">
      <c r="E156" s="14" t="s">
        <v>204</v>
      </c>
      <c r="F156" s="12">
        <v>2405</v>
      </c>
    </row>
    <row r="157" spans="5:6" x14ac:dyDescent="0.3">
      <c r="E157" s="14" t="s">
        <v>126</v>
      </c>
      <c r="F157" s="12">
        <v>2644</v>
      </c>
    </row>
    <row r="158" spans="5:6" x14ac:dyDescent="0.3">
      <c r="E158" s="14" t="s">
        <v>372</v>
      </c>
      <c r="F158" s="12">
        <v>523</v>
      </c>
    </row>
    <row r="159" spans="5:6" x14ac:dyDescent="0.3">
      <c r="E159" s="14" t="s">
        <v>16</v>
      </c>
      <c r="F159" s="12">
        <v>0</v>
      </c>
    </row>
    <row r="160" spans="5:6" x14ac:dyDescent="0.3">
      <c r="E160" s="14" t="s">
        <v>310</v>
      </c>
      <c r="F160" s="12">
        <v>791</v>
      </c>
    </row>
    <row r="161" spans="5:6" x14ac:dyDescent="0.3">
      <c r="E161" s="14" t="s">
        <v>280</v>
      </c>
      <c r="F161" s="12">
        <v>860</v>
      </c>
    </row>
    <row r="162" spans="5:6" x14ac:dyDescent="0.3">
      <c r="E162" s="14" t="s">
        <v>278</v>
      </c>
      <c r="F162" s="12">
        <v>256</v>
      </c>
    </row>
    <row r="163" spans="5:6" x14ac:dyDescent="0.3">
      <c r="E163" s="14" t="s">
        <v>314</v>
      </c>
      <c r="F163" s="12">
        <v>1688</v>
      </c>
    </row>
    <row r="164" spans="5:6" x14ac:dyDescent="0.3">
      <c r="E164" s="14" t="s">
        <v>208</v>
      </c>
      <c r="F164" s="12">
        <v>0</v>
      </c>
    </row>
    <row r="165" spans="5:6" x14ac:dyDescent="0.3">
      <c r="E165" s="14" t="s">
        <v>172</v>
      </c>
      <c r="F165" s="12">
        <v>766</v>
      </c>
    </row>
    <row r="166" spans="5:6" x14ac:dyDescent="0.3">
      <c r="E166" s="14" t="s">
        <v>152</v>
      </c>
      <c r="F166" s="12">
        <v>630</v>
      </c>
    </row>
    <row r="167" spans="5:6" x14ac:dyDescent="0.3">
      <c r="E167" s="14" t="s">
        <v>31</v>
      </c>
      <c r="F167" s="12">
        <v>0</v>
      </c>
    </row>
    <row r="168" spans="5:6" x14ac:dyDescent="0.3">
      <c r="E168" s="14" t="s">
        <v>200</v>
      </c>
      <c r="F168" s="12">
        <v>0</v>
      </c>
    </row>
    <row r="169" spans="5:6" x14ac:dyDescent="0.3">
      <c r="E169" s="14" t="s">
        <v>362</v>
      </c>
      <c r="F169" s="12">
        <v>0</v>
      </c>
    </row>
    <row r="170" spans="5:6" x14ac:dyDescent="0.3">
      <c r="E170" s="14" t="s">
        <v>378</v>
      </c>
      <c r="F170" s="12">
        <v>1233</v>
      </c>
    </row>
    <row r="171" spans="5:6" x14ac:dyDescent="0.3">
      <c r="E171" s="14" t="s">
        <v>140</v>
      </c>
      <c r="F171" s="12">
        <v>0</v>
      </c>
    </row>
    <row r="172" spans="5:6" x14ac:dyDescent="0.3">
      <c r="E172" s="14" t="s">
        <v>348</v>
      </c>
      <c r="F172" s="12">
        <v>504</v>
      </c>
    </row>
    <row r="173" spans="5:6" x14ac:dyDescent="0.3">
      <c r="E173" s="14" t="s">
        <v>168</v>
      </c>
      <c r="F173" s="12">
        <v>20</v>
      </c>
    </row>
    <row r="174" spans="5:6" x14ac:dyDescent="0.3">
      <c r="E174" s="14" t="s">
        <v>384</v>
      </c>
      <c r="F174" s="12">
        <v>1283</v>
      </c>
    </row>
    <row r="175" spans="5:6" x14ac:dyDescent="0.3">
      <c r="E175" s="14" t="s">
        <v>163</v>
      </c>
      <c r="F175" s="12">
        <v>0</v>
      </c>
    </row>
    <row r="176" spans="5:6" x14ac:dyDescent="0.3">
      <c r="E176" s="14" t="s">
        <v>293</v>
      </c>
      <c r="F176" s="12">
        <v>798</v>
      </c>
    </row>
    <row r="177" spans="5:6" x14ac:dyDescent="0.3">
      <c r="E177" s="14" t="s">
        <v>183</v>
      </c>
      <c r="F177" s="12">
        <v>278</v>
      </c>
    </row>
    <row r="178" spans="5:6" x14ac:dyDescent="0.3">
      <c r="E178" s="14" t="s">
        <v>5</v>
      </c>
      <c r="F178" s="12">
        <v>0</v>
      </c>
    </row>
    <row r="179" spans="5:6" x14ac:dyDescent="0.3">
      <c r="E179" s="14" t="s">
        <v>75</v>
      </c>
      <c r="F179" s="12">
        <v>311</v>
      </c>
    </row>
    <row r="180" spans="5:6" x14ac:dyDescent="0.3">
      <c r="E180" s="14" t="s">
        <v>319</v>
      </c>
      <c r="F180" s="12">
        <v>28</v>
      </c>
    </row>
    <row r="181" spans="5:6" x14ac:dyDescent="0.3">
      <c r="E181" s="14" t="s">
        <v>386</v>
      </c>
      <c r="F181" s="12">
        <v>0</v>
      </c>
    </row>
    <row r="182" spans="5:6" x14ac:dyDescent="0.3">
      <c r="E182" s="14" t="s">
        <v>42</v>
      </c>
      <c r="F182" s="12">
        <v>0</v>
      </c>
    </row>
    <row r="183" spans="5:6" x14ac:dyDescent="0.3">
      <c r="E183" s="14" t="s">
        <v>161</v>
      </c>
      <c r="F183" s="12">
        <v>0</v>
      </c>
    </row>
    <row r="184" spans="5:6" x14ac:dyDescent="0.3">
      <c r="E184" s="14" t="s">
        <v>98</v>
      </c>
      <c r="F184" s="12">
        <v>478</v>
      </c>
    </row>
    <row r="185" spans="5:6" x14ac:dyDescent="0.3">
      <c r="E185" s="14" t="s">
        <v>269</v>
      </c>
      <c r="F185" s="12">
        <v>1932</v>
      </c>
    </row>
    <row r="186" spans="5:6" x14ac:dyDescent="0.3">
      <c r="E186" s="14" t="s">
        <v>381</v>
      </c>
      <c r="F186" s="12">
        <v>0</v>
      </c>
    </row>
    <row r="187" spans="5:6" x14ac:dyDescent="0.3">
      <c r="E187" s="14" t="s">
        <v>107</v>
      </c>
      <c r="F187" s="12">
        <v>4952</v>
      </c>
    </row>
    <row r="188" spans="5:6" x14ac:dyDescent="0.3">
      <c r="E188" s="14" t="s">
        <v>391</v>
      </c>
      <c r="F188" s="12">
        <v>0</v>
      </c>
    </row>
    <row r="189" spans="5:6" x14ac:dyDescent="0.3">
      <c r="E189" s="14" t="s">
        <v>304</v>
      </c>
      <c r="F189" s="12">
        <v>0</v>
      </c>
    </row>
    <row r="190" spans="5:6" x14ac:dyDescent="0.3">
      <c r="E190" s="14" t="s">
        <v>61</v>
      </c>
      <c r="F190" s="12">
        <v>0</v>
      </c>
    </row>
    <row r="191" spans="5:6" x14ac:dyDescent="0.3">
      <c r="E191" s="14" t="s">
        <v>88</v>
      </c>
      <c r="F191" s="12">
        <v>127</v>
      </c>
    </row>
    <row r="192" spans="5:6" x14ac:dyDescent="0.3">
      <c r="E192" s="14" t="s">
        <v>257</v>
      </c>
      <c r="F192" s="12">
        <v>595</v>
      </c>
    </row>
    <row r="193" spans="5:6" x14ac:dyDescent="0.3">
      <c r="E193" s="14" t="s">
        <v>296</v>
      </c>
      <c r="F193" s="12">
        <v>58</v>
      </c>
    </row>
    <row r="194" spans="5:6" x14ac:dyDescent="0.3">
      <c r="E194" s="14" t="s">
        <v>137</v>
      </c>
      <c r="F194" s="12">
        <v>67</v>
      </c>
    </row>
    <row r="195" spans="5:6" x14ac:dyDescent="0.3">
      <c r="E195" s="14" t="s">
        <v>185</v>
      </c>
      <c r="F195" s="12">
        <v>0</v>
      </c>
    </row>
    <row r="196" spans="5:6" x14ac:dyDescent="0.3">
      <c r="E196" s="14" t="s">
        <v>346</v>
      </c>
      <c r="F196" s="12">
        <v>0</v>
      </c>
    </row>
    <row r="197" spans="5:6" x14ac:dyDescent="0.3">
      <c r="E197" s="14" t="s">
        <v>83</v>
      </c>
      <c r="F197" s="12">
        <v>8702</v>
      </c>
    </row>
    <row r="198" spans="5:6" x14ac:dyDescent="0.3">
      <c r="E198" s="14" t="s">
        <v>173</v>
      </c>
      <c r="F198" s="12">
        <v>446</v>
      </c>
    </row>
    <row r="199" spans="5:6" x14ac:dyDescent="0.3">
      <c r="E199" s="14" t="s">
        <v>388</v>
      </c>
      <c r="F199" s="12">
        <v>734</v>
      </c>
    </row>
    <row r="200" spans="5:6" x14ac:dyDescent="0.3">
      <c r="E200" s="14" t="s">
        <v>220</v>
      </c>
      <c r="F200" s="12">
        <v>2324</v>
      </c>
    </row>
    <row r="201" spans="5:6" x14ac:dyDescent="0.3">
      <c r="E201" s="14" t="s">
        <v>239</v>
      </c>
      <c r="F201" s="12">
        <v>954</v>
      </c>
    </row>
    <row r="202" spans="5:6" x14ac:dyDescent="0.3">
      <c r="E202" s="14" t="s">
        <v>26</v>
      </c>
      <c r="F202" s="12">
        <v>1222</v>
      </c>
    </row>
    <row r="203" spans="5:6" x14ac:dyDescent="0.3">
      <c r="E203" s="14" t="s">
        <v>357</v>
      </c>
      <c r="F203" s="12">
        <v>706</v>
      </c>
    </row>
    <row r="204" spans="5:6" x14ac:dyDescent="0.3">
      <c r="E204" s="14" t="s">
        <v>365</v>
      </c>
      <c r="F204" s="12">
        <v>829</v>
      </c>
    </row>
    <row r="205" spans="5:6" x14ac:dyDescent="0.3">
      <c r="E205" s="14" t="s">
        <v>302</v>
      </c>
      <c r="F205" s="12">
        <v>0</v>
      </c>
    </row>
    <row r="206" spans="5:6" x14ac:dyDescent="0.3">
      <c r="E206" s="14" t="s">
        <v>329</v>
      </c>
      <c r="F206" s="12">
        <v>3878</v>
      </c>
    </row>
    <row r="207" spans="5:6" x14ac:dyDescent="0.3">
      <c r="E207" s="14" t="s">
        <v>162</v>
      </c>
      <c r="F207" s="12">
        <v>931</v>
      </c>
    </row>
    <row r="208" spans="5:6" x14ac:dyDescent="0.3">
      <c r="E208" s="14" t="s">
        <v>51</v>
      </c>
      <c r="F208" s="12">
        <v>0</v>
      </c>
    </row>
    <row r="209" spans="5:6" x14ac:dyDescent="0.3">
      <c r="E209" s="14" t="s">
        <v>68</v>
      </c>
      <c r="F209" s="12">
        <v>2365</v>
      </c>
    </row>
    <row r="210" spans="5:6" x14ac:dyDescent="0.3">
      <c r="E210" s="14" t="s">
        <v>383</v>
      </c>
      <c r="F210" s="12">
        <v>0</v>
      </c>
    </row>
    <row r="211" spans="5:6" x14ac:dyDescent="0.3">
      <c r="E211" s="14" t="s">
        <v>309</v>
      </c>
      <c r="F211" s="12">
        <v>335</v>
      </c>
    </row>
    <row r="212" spans="5:6" x14ac:dyDescent="0.3">
      <c r="E212" s="14" t="s">
        <v>385</v>
      </c>
      <c r="F212" s="12">
        <v>4595</v>
      </c>
    </row>
    <row r="213" spans="5:6" x14ac:dyDescent="0.3">
      <c r="E213" s="14" t="s">
        <v>282</v>
      </c>
      <c r="F213" s="12">
        <v>1311</v>
      </c>
    </row>
    <row r="214" spans="5:6" x14ac:dyDescent="0.3">
      <c r="E214" s="14" t="s">
        <v>36</v>
      </c>
      <c r="F214" s="12">
        <v>672</v>
      </c>
    </row>
    <row r="215" spans="5:6" x14ac:dyDescent="0.3">
      <c r="E215" s="14" t="s">
        <v>305</v>
      </c>
      <c r="F215" s="12">
        <v>677</v>
      </c>
    </row>
    <row r="216" spans="5:6" x14ac:dyDescent="0.3">
      <c r="E216" s="14" t="s">
        <v>336</v>
      </c>
      <c r="F216" s="12">
        <v>51</v>
      </c>
    </row>
    <row r="217" spans="5:6" x14ac:dyDescent="0.3">
      <c r="E217" s="14" t="s">
        <v>142</v>
      </c>
      <c r="F217" s="12">
        <v>2073</v>
      </c>
    </row>
    <row r="218" spans="5:6" x14ac:dyDescent="0.3">
      <c r="E218" s="14" t="s">
        <v>364</v>
      </c>
      <c r="F218" s="12">
        <v>374</v>
      </c>
    </row>
    <row r="219" spans="5:6" x14ac:dyDescent="0.3">
      <c r="E219" s="14" t="s">
        <v>123</v>
      </c>
      <c r="F219" s="12">
        <v>1062</v>
      </c>
    </row>
    <row r="220" spans="5:6" x14ac:dyDescent="0.3">
      <c r="E220" s="14" t="s">
        <v>130</v>
      </c>
      <c r="F220" s="12">
        <v>117</v>
      </c>
    </row>
    <row r="221" spans="5:6" x14ac:dyDescent="0.3">
      <c r="E221" s="14" t="s">
        <v>176</v>
      </c>
      <c r="F221" s="12">
        <v>1448</v>
      </c>
    </row>
    <row r="222" spans="5:6" x14ac:dyDescent="0.3">
      <c r="E222" s="14" t="s">
        <v>318</v>
      </c>
      <c r="F222" s="12">
        <v>960</v>
      </c>
    </row>
    <row r="223" spans="5:6" x14ac:dyDescent="0.3">
      <c r="E223" s="14" t="s">
        <v>22</v>
      </c>
      <c r="F223" s="12">
        <v>9592</v>
      </c>
    </row>
    <row r="224" spans="5:6" x14ac:dyDescent="0.3">
      <c r="E224" s="14" t="s">
        <v>230</v>
      </c>
      <c r="F224" s="12">
        <v>0</v>
      </c>
    </row>
    <row r="225" spans="5:6" x14ac:dyDescent="0.3">
      <c r="E225" s="14" t="s">
        <v>288</v>
      </c>
      <c r="F225" s="12">
        <v>0</v>
      </c>
    </row>
    <row r="226" spans="5:6" x14ac:dyDescent="0.3">
      <c r="E226" s="14" t="s">
        <v>287</v>
      </c>
      <c r="F226" s="12">
        <v>0</v>
      </c>
    </row>
    <row r="227" spans="5:6" x14ac:dyDescent="0.3">
      <c r="E227" s="14" t="s">
        <v>114</v>
      </c>
      <c r="F227" s="12">
        <v>1155</v>
      </c>
    </row>
    <row r="228" spans="5:6" x14ac:dyDescent="0.3">
      <c r="E228" s="14" t="s">
        <v>189</v>
      </c>
      <c r="F228" s="12">
        <v>0</v>
      </c>
    </row>
    <row r="229" spans="5:6" x14ac:dyDescent="0.3">
      <c r="E229" s="14" t="s">
        <v>85</v>
      </c>
      <c r="F229" s="12">
        <v>1581</v>
      </c>
    </row>
    <row r="230" spans="5:6" x14ac:dyDescent="0.3">
      <c r="E230" s="14" t="s">
        <v>237</v>
      </c>
      <c r="F230" s="12">
        <v>2044</v>
      </c>
    </row>
    <row r="231" spans="5:6" x14ac:dyDescent="0.3">
      <c r="E231" s="14" t="s">
        <v>193</v>
      </c>
      <c r="F231" s="12">
        <v>0</v>
      </c>
    </row>
    <row r="232" spans="5:6" x14ac:dyDescent="0.3">
      <c r="E232" s="14" t="s">
        <v>242</v>
      </c>
      <c r="F232" s="12">
        <v>0</v>
      </c>
    </row>
    <row r="233" spans="5:6" x14ac:dyDescent="0.3">
      <c r="E233" s="14" t="s">
        <v>351</v>
      </c>
      <c r="F233" s="12">
        <v>737</v>
      </c>
    </row>
    <row r="234" spans="5:6" x14ac:dyDescent="0.3">
      <c r="E234" s="14" t="s">
        <v>131</v>
      </c>
      <c r="F234" s="12">
        <v>0</v>
      </c>
    </row>
    <row r="235" spans="5:6" x14ac:dyDescent="0.3">
      <c r="E235" s="14" t="s">
        <v>380</v>
      </c>
      <c r="F235" s="12">
        <v>2723</v>
      </c>
    </row>
    <row r="236" spans="5:6" x14ac:dyDescent="0.3">
      <c r="E236" s="14" t="s">
        <v>250</v>
      </c>
      <c r="F236" s="12">
        <v>0</v>
      </c>
    </row>
    <row r="237" spans="5:6" x14ac:dyDescent="0.3">
      <c r="E237" s="14" t="s">
        <v>340</v>
      </c>
      <c r="F237" s="12">
        <v>0</v>
      </c>
    </row>
    <row r="238" spans="5:6" x14ac:dyDescent="0.3">
      <c r="E238" s="14" t="s">
        <v>252</v>
      </c>
      <c r="F238" s="12">
        <v>103</v>
      </c>
    </row>
    <row r="239" spans="5:6" x14ac:dyDescent="0.3">
      <c r="E239" s="14" t="s">
        <v>262</v>
      </c>
      <c r="F239" s="12">
        <v>0</v>
      </c>
    </row>
    <row r="240" spans="5:6" x14ac:dyDescent="0.3">
      <c r="E240" s="14" t="s">
        <v>197</v>
      </c>
      <c r="F240" s="12">
        <v>0</v>
      </c>
    </row>
    <row r="241" spans="5:6" x14ac:dyDescent="0.3">
      <c r="E241" s="14" t="s">
        <v>19</v>
      </c>
      <c r="F241" s="12">
        <v>380</v>
      </c>
    </row>
    <row r="242" spans="5:6" x14ac:dyDescent="0.3">
      <c r="E242" s="14" t="s">
        <v>148</v>
      </c>
      <c r="F242" s="12">
        <v>418</v>
      </c>
    </row>
    <row r="243" spans="5:6" x14ac:dyDescent="0.3">
      <c r="E243" s="14" t="s">
        <v>46</v>
      </c>
      <c r="F243" s="12">
        <v>4826</v>
      </c>
    </row>
    <row r="244" spans="5:6" x14ac:dyDescent="0.3">
      <c r="E244" s="14" t="s">
        <v>121</v>
      </c>
      <c r="F244" s="12">
        <v>508</v>
      </c>
    </row>
    <row r="245" spans="5:6" x14ac:dyDescent="0.3">
      <c r="E245" s="14" t="s">
        <v>226</v>
      </c>
      <c r="F245" s="12">
        <v>556</v>
      </c>
    </row>
    <row r="246" spans="5:6" x14ac:dyDescent="0.3">
      <c r="E246" s="14" t="s">
        <v>24</v>
      </c>
      <c r="F246" s="12">
        <v>1059</v>
      </c>
    </row>
    <row r="247" spans="5:6" x14ac:dyDescent="0.3">
      <c r="E247" s="14" t="s">
        <v>322</v>
      </c>
      <c r="F247" s="12">
        <v>0</v>
      </c>
    </row>
    <row r="248" spans="5:6" x14ac:dyDescent="0.3">
      <c r="E248" s="14" t="s">
        <v>368</v>
      </c>
      <c r="F248" s="12">
        <v>0</v>
      </c>
    </row>
    <row r="249" spans="5:6" x14ac:dyDescent="0.3">
      <c r="E249" s="14" t="s">
        <v>228</v>
      </c>
      <c r="F249" s="12">
        <v>0</v>
      </c>
    </row>
    <row r="250" spans="5:6" x14ac:dyDescent="0.3">
      <c r="E250" s="14" t="s">
        <v>285</v>
      </c>
      <c r="F250" s="12">
        <v>0</v>
      </c>
    </row>
    <row r="251" spans="5:6" x14ac:dyDescent="0.3">
      <c r="E251" s="14" t="s">
        <v>382</v>
      </c>
      <c r="F251" s="12">
        <v>0</v>
      </c>
    </row>
    <row r="252" spans="5:6" x14ac:dyDescent="0.3">
      <c r="E252" s="14" t="s">
        <v>206</v>
      </c>
      <c r="F252" s="12">
        <v>929</v>
      </c>
    </row>
    <row r="253" spans="5:6" x14ac:dyDescent="0.3">
      <c r="E253" s="14" t="s">
        <v>134</v>
      </c>
      <c r="F253" s="12">
        <v>52</v>
      </c>
    </row>
    <row r="254" spans="5:6" x14ac:dyDescent="0.3">
      <c r="E254" s="14" t="s">
        <v>258</v>
      </c>
      <c r="F254" s="12">
        <v>1415</v>
      </c>
    </row>
    <row r="255" spans="5:6" x14ac:dyDescent="0.3">
      <c r="E255" s="14" t="s">
        <v>153</v>
      </c>
      <c r="F255" s="12">
        <v>0</v>
      </c>
    </row>
    <row r="256" spans="5:6" x14ac:dyDescent="0.3">
      <c r="E256" s="14" t="s">
        <v>191</v>
      </c>
      <c r="F256" s="12">
        <v>818</v>
      </c>
    </row>
    <row r="257" spans="5:6" x14ac:dyDescent="0.3">
      <c r="E257" s="14" t="s">
        <v>276</v>
      </c>
      <c r="F257" s="12">
        <v>0</v>
      </c>
    </row>
    <row r="258" spans="5:6" x14ac:dyDescent="0.3">
      <c r="E258" s="14" t="s">
        <v>175</v>
      </c>
      <c r="F258" s="12">
        <v>591</v>
      </c>
    </row>
    <row r="259" spans="5:6" x14ac:dyDescent="0.3">
      <c r="E259" s="14" t="s">
        <v>159</v>
      </c>
      <c r="F259" s="12">
        <v>2114</v>
      </c>
    </row>
    <row r="260" spans="5:6" x14ac:dyDescent="0.3">
      <c r="E260" s="14" t="s">
        <v>181</v>
      </c>
      <c r="F260" s="12">
        <v>517</v>
      </c>
    </row>
    <row r="261" spans="5:6" x14ac:dyDescent="0.3">
      <c r="E261" s="14" t="s">
        <v>43</v>
      </c>
      <c r="F261" s="12">
        <v>1500</v>
      </c>
    </row>
    <row r="262" spans="5:6" x14ac:dyDescent="0.3">
      <c r="E262" s="14" t="s">
        <v>119</v>
      </c>
      <c r="F262" s="12">
        <v>4706</v>
      </c>
    </row>
    <row r="263" spans="5:6" x14ac:dyDescent="0.3">
      <c r="E263" s="14" t="s">
        <v>37</v>
      </c>
      <c r="F263" s="12">
        <v>1864</v>
      </c>
    </row>
    <row r="264" spans="5:6" x14ac:dyDescent="0.3">
      <c r="E264" s="14" t="s">
        <v>117</v>
      </c>
      <c r="F264" s="12">
        <v>0</v>
      </c>
    </row>
    <row r="265" spans="5:6" x14ac:dyDescent="0.3">
      <c r="E265" s="14" t="s">
        <v>116</v>
      </c>
      <c r="F265" s="12">
        <v>0</v>
      </c>
    </row>
    <row r="266" spans="5:6" x14ac:dyDescent="0.3">
      <c r="E266" s="14" t="s">
        <v>387</v>
      </c>
      <c r="F266" s="12">
        <v>0</v>
      </c>
    </row>
    <row r="267" spans="5:6" x14ac:dyDescent="0.3">
      <c r="E267" s="14" t="s">
        <v>212</v>
      </c>
      <c r="F267" s="12">
        <v>404</v>
      </c>
    </row>
    <row r="268" spans="5:6" x14ac:dyDescent="0.3">
      <c r="E268" s="14" t="s">
        <v>241</v>
      </c>
      <c r="F268" s="12">
        <v>0</v>
      </c>
    </row>
    <row r="269" spans="5:6" x14ac:dyDescent="0.3">
      <c r="E269" s="14" t="s">
        <v>149</v>
      </c>
      <c r="F269" s="12">
        <v>0</v>
      </c>
    </row>
    <row r="270" spans="5:6" x14ac:dyDescent="0.3">
      <c r="E270" s="14" t="s">
        <v>34</v>
      </c>
      <c r="F270" s="12">
        <v>1371</v>
      </c>
    </row>
    <row r="271" spans="5:6" x14ac:dyDescent="0.3">
      <c r="E271" s="14" t="s">
        <v>84</v>
      </c>
      <c r="F271" s="12">
        <v>0</v>
      </c>
    </row>
    <row r="272" spans="5:6" x14ac:dyDescent="0.3">
      <c r="E272" s="14" t="s">
        <v>80</v>
      </c>
      <c r="F272" s="12">
        <v>710</v>
      </c>
    </row>
    <row r="273" spans="5:6" x14ac:dyDescent="0.3">
      <c r="E273" s="14" t="s">
        <v>135</v>
      </c>
      <c r="F273" s="12">
        <v>0</v>
      </c>
    </row>
    <row r="274" spans="5:6" x14ac:dyDescent="0.3">
      <c r="E274" s="14" t="s">
        <v>213</v>
      </c>
      <c r="F274" s="12">
        <v>0</v>
      </c>
    </row>
    <row r="275" spans="5:6" x14ac:dyDescent="0.3">
      <c r="E275" s="14" t="s">
        <v>268</v>
      </c>
      <c r="F275" s="12">
        <v>777</v>
      </c>
    </row>
    <row r="276" spans="5:6" x14ac:dyDescent="0.3">
      <c r="E276" s="14" t="s">
        <v>182</v>
      </c>
      <c r="F276" s="12">
        <v>0</v>
      </c>
    </row>
    <row r="277" spans="5:6" x14ac:dyDescent="0.3">
      <c r="E277" s="14" t="s">
        <v>261</v>
      </c>
      <c r="F277" s="12">
        <v>387</v>
      </c>
    </row>
    <row r="278" spans="5:6" x14ac:dyDescent="0.3">
      <c r="E278" s="14" t="s">
        <v>223</v>
      </c>
      <c r="F278" s="12">
        <v>0</v>
      </c>
    </row>
    <row r="279" spans="5:6" x14ac:dyDescent="0.3">
      <c r="E279" s="14" t="s">
        <v>73</v>
      </c>
      <c r="F279" s="12">
        <v>0</v>
      </c>
    </row>
    <row r="280" spans="5:6" x14ac:dyDescent="0.3">
      <c r="E280" s="14" t="s">
        <v>253</v>
      </c>
      <c r="F280" s="12">
        <v>1781</v>
      </c>
    </row>
    <row r="281" spans="5:6" x14ac:dyDescent="0.3">
      <c r="E281" s="14" t="s">
        <v>115</v>
      </c>
      <c r="F281" s="12">
        <v>0</v>
      </c>
    </row>
    <row r="282" spans="5:6" x14ac:dyDescent="0.3">
      <c r="E282" s="14" t="s">
        <v>256</v>
      </c>
      <c r="F282" s="12">
        <v>0</v>
      </c>
    </row>
    <row r="283" spans="5:6" x14ac:dyDescent="0.3">
      <c r="E283" s="14" t="s">
        <v>323</v>
      </c>
      <c r="F283" s="12">
        <v>0</v>
      </c>
    </row>
    <row r="284" spans="5:6" x14ac:dyDescent="0.3">
      <c r="E284" s="14" t="s">
        <v>350</v>
      </c>
      <c r="F284" s="12">
        <v>1257</v>
      </c>
    </row>
    <row r="285" spans="5:6" x14ac:dyDescent="0.3">
      <c r="E285" s="14" t="s">
        <v>194</v>
      </c>
      <c r="F285" s="12">
        <v>0</v>
      </c>
    </row>
    <row r="286" spans="5:6" x14ac:dyDescent="0.3">
      <c r="E286" s="14" t="s">
        <v>201</v>
      </c>
      <c r="F286" s="12">
        <v>10138</v>
      </c>
    </row>
    <row r="287" spans="5:6" x14ac:dyDescent="0.3">
      <c r="E287" s="14" t="s">
        <v>207</v>
      </c>
      <c r="F287" s="12">
        <v>0</v>
      </c>
    </row>
    <row r="288" spans="5:6" x14ac:dyDescent="0.3">
      <c r="E288" s="14" t="s">
        <v>39</v>
      </c>
      <c r="F288" s="12">
        <v>0</v>
      </c>
    </row>
    <row r="289" spans="5:6" x14ac:dyDescent="0.3">
      <c r="E289" s="14" t="s">
        <v>389</v>
      </c>
      <c r="F289" s="12">
        <v>0</v>
      </c>
    </row>
    <row r="290" spans="5:6" x14ac:dyDescent="0.3">
      <c r="E290" s="14" t="s">
        <v>125</v>
      </c>
      <c r="F290" s="12">
        <v>0</v>
      </c>
    </row>
    <row r="291" spans="5:6" x14ac:dyDescent="0.3">
      <c r="E291" s="14" t="s">
        <v>338</v>
      </c>
      <c r="F291" s="12">
        <v>618</v>
      </c>
    </row>
    <row r="292" spans="5:6" x14ac:dyDescent="0.3">
      <c r="E292" s="14" t="s">
        <v>132</v>
      </c>
      <c r="F292" s="12">
        <v>608</v>
      </c>
    </row>
    <row r="293" spans="5:6" x14ac:dyDescent="0.3">
      <c r="E293" s="14" t="s">
        <v>143</v>
      </c>
      <c r="F293" s="12">
        <v>805</v>
      </c>
    </row>
    <row r="294" spans="5:6" x14ac:dyDescent="0.3">
      <c r="E294" s="14" t="s">
        <v>352</v>
      </c>
      <c r="F294" s="12">
        <v>0</v>
      </c>
    </row>
    <row r="295" spans="5:6" x14ac:dyDescent="0.3">
      <c r="E295" s="14" t="s">
        <v>97</v>
      </c>
      <c r="F295" s="12">
        <v>0</v>
      </c>
    </row>
    <row r="296" spans="5:6" x14ac:dyDescent="0.3">
      <c r="E296" s="14" t="s">
        <v>47</v>
      </c>
      <c r="F296" s="12">
        <v>568</v>
      </c>
    </row>
    <row r="297" spans="5:6" x14ac:dyDescent="0.3">
      <c r="E297" s="14" t="s">
        <v>353</v>
      </c>
      <c r="F297" s="12">
        <v>2607</v>
      </c>
    </row>
    <row r="298" spans="5:6" x14ac:dyDescent="0.3">
      <c r="E298" s="14" t="s">
        <v>167</v>
      </c>
      <c r="F298" s="12">
        <v>674</v>
      </c>
    </row>
    <row r="299" spans="5:6" x14ac:dyDescent="0.3">
      <c r="E299" s="14" t="s">
        <v>326</v>
      </c>
      <c r="F299" s="12">
        <v>0</v>
      </c>
    </row>
    <row r="300" spans="5:6" x14ac:dyDescent="0.3">
      <c r="E300" s="14" t="s">
        <v>279</v>
      </c>
      <c r="F300" s="12">
        <v>940</v>
      </c>
    </row>
    <row r="301" spans="5:6" x14ac:dyDescent="0.3">
      <c r="E301" s="14" t="s">
        <v>103</v>
      </c>
      <c r="F301" s="12">
        <v>0</v>
      </c>
    </row>
    <row r="302" spans="5:6" x14ac:dyDescent="0.3">
      <c r="E302" s="14" t="s">
        <v>188</v>
      </c>
      <c r="F302" s="12">
        <v>0</v>
      </c>
    </row>
    <row r="303" spans="5:6" x14ac:dyDescent="0.3">
      <c r="E303" s="14" t="s">
        <v>277</v>
      </c>
      <c r="F303" s="12">
        <v>0</v>
      </c>
    </row>
    <row r="304" spans="5:6" x14ac:dyDescent="0.3">
      <c r="E304" s="14" t="s">
        <v>11</v>
      </c>
      <c r="F304" s="12">
        <v>568</v>
      </c>
    </row>
    <row r="305" spans="5:6" x14ac:dyDescent="0.3">
      <c r="E305" s="14" t="s">
        <v>320</v>
      </c>
      <c r="F305" s="12">
        <v>1587</v>
      </c>
    </row>
    <row r="306" spans="5:6" x14ac:dyDescent="0.3">
      <c r="E306" s="14" t="s">
        <v>307</v>
      </c>
      <c r="F306" s="12">
        <v>0</v>
      </c>
    </row>
    <row r="307" spans="5:6" x14ac:dyDescent="0.3">
      <c r="E307" s="14" t="s">
        <v>127</v>
      </c>
      <c r="F307" s="12">
        <v>0</v>
      </c>
    </row>
    <row r="308" spans="5:6" x14ac:dyDescent="0.3">
      <c r="E308" s="14" t="s">
        <v>236</v>
      </c>
      <c r="F308" s="12">
        <v>932</v>
      </c>
    </row>
    <row r="309" spans="5:6" x14ac:dyDescent="0.3">
      <c r="E309" s="14" t="s">
        <v>275</v>
      </c>
      <c r="F309" s="12">
        <v>374</v>
      </c>
    </row>
    <row r="310" spans="5:6" x14ac:dyDescent="0.3">
      <c r="E310" s="14" t="s">
        <v>345</v>
      </c>
      <c r="F310" s="12">
        <v>0</v>
      </c>
    </row>
    <row r="311" spans="5:6" x14ac:dyDescent="0.3">
      <c r="E311" s="14" t="s">
        <v>317</v>
      </c>
      <c r="F311" s="12">
        <v>2622</v>
      </c>
    </row>
    <row r="312" spans="5:6" x14ac:dyDescent="0.3">
      <c r="E312" s="14" t="s">
        <v>337</v>
      </c>
      <c r="F312" s="12">
        <v>0</v>
      </c>
    </row>
    <row r="313" spans="5:6" x14ac:dyDescent="0.3">
      <c r="E313" s="14" t="s">
        <v>225</v>
      </c>
      <c r="F313" s="12">
        <v>0</v>
      </c>
    </row>
    <row r="314" spans="5:6" x14ac:dyDescent="0.3">
      <c r="E314" s="14" t="s">
        <v>390</v>
      </c>
      <c r="F314" s="12">
        <v>520</v>
      </c>
    </row>
    <row r="315" spans="5:6" x14ac:dyDescent="0.3">
      <c r="E315" s="14" t="s">
        <v>267</v>
      </c>
      <c r="F315" s="12">
        <v>2269</v>
      </c>
    </row>
    <row r="316" spans="5:6" x14ac:dyDescent="0.3">
      <c r="E316" s="14" t="s">
        <v>334</v>
      </c>
      <c r="F316" s="12">
        <v>0</v>
      </c>
    </row>
    <row r="317" spans="5:6" x14ac:dyDescent="0.3">
      <c r="E317" s="14" t="s">
        <v>215</v>
      </c>
      <c r="F317" s="12">
        <v>944</v>
      </c>
    </row>
    <row r="318" spans="5:6" x14ac:dyDescent="0.3">
      <c r="E318" s="14" t="s">
        <v>238</v>
      </c>
      <c r="F318" s="12">
        <v>992</v>
      </c>
    </row>
    <row r="319" spans="5:6" x14ac:dyDescent="0.3">
      <c r="E319" s="14" t="s">
        <v>45</v>
      </c>
      <c r="F319" s="12">
        <v>793</v>
      </c>
    </row>
    <row r="320" spans="5:6" x14ac:dyDescent="0.3">
      <c r="E320" s="14" t="s">
        <v>222</v>
      </c>
      <c r="F320" s="12">
        <v>199</v>
      </c>
    </row>
    <row r="321" spans="5:6" x14ac:dyDescent="0.3">
      <c r="E321" s="14" t="s">
        <v>169</v>
      </c>
      <c r="F321" s="12">
        <v>2450</v>
      </c>
    </row>
    <row r="322" spans="5:6" x14ac:dyDescent="0.3">
      <c r="E322" s="14" t="s">
        <v>106</v>
      </c>
      <c r="F322" s="12">
        <v>100</v>
      </c>
    </row>
    <row r="323" spans="5:6" x14ac:dyDescent="0.3">
      <c r="E323" s="14" t="s">
        <v>363</v>
      </c>
      <c r="F323" s="12">
        <v>869</v>
      </c>
    </row>
    <row r="324" spans="5:6" x14ac:dyDescent="0.3">
      <c r="E324" s="14" t="s">
        <v>33</v>
      </c>
      <c r="F324" s="12">
        <v>216</v>
      </c>
    </row>
    <row r="325" spans="5:6" x14ac:dyDescent="0.3">
      <c r="E325" s="14" t="s">
        <v>289</v>
      </c>
      <c r="F325" s="12">
        <v>712</v>
      </c>
    </row>
    <row r="326" spans="5:6" x14ac:dyDescent="0.3">
      <c r="E326" s="14" t="s">
        <v>361</v>
      </c>
      <c r="F326" s="12">
        <v>0</v>
      </c>
    </row>
    <row r="327" spans="5:6" x14ac:dyDescent="0.3">
      <c r="E327" s="14" t="s">
        <v>330</v>
      </c>
      <c r="F327" s="12">
        <v>1008</v>
      </c>
    </row>
    <row r="328" spans="5:6" x14ac:dyDescent="0.3">
      <c r="E328" s="14" t="s">
        <v>333</v>
      </c>
      <c r="F328" s="12">
        <v>2296</v>
      </c>
    </row>
    <row r="329" spans="5:6" x14ac:dyDescent="0.3">
      <c r="E329" s="14" t="s">
        <v>243</v>
      </c>
      <c r="F329" s="12">
        <v>1715</v>
      </c>
    </row>
    <row r="330" spans="5:6" x14ac:dyDescent="0.3">
      <c r="E330" s="14" t="s">
        <v>211</v>
      </c>
      <c r="F330" s="12">
        <v>1442</v>
      </c>
    </row>
    <row r="331" spans="5:6" x14ac:dyDescent="0.3">
      <c r="E331" s="14" t="s">
        <v>166</v>
      </c>
      <c r="F331" s="12">
        <v>0</v>
      </c>
    </row>
    <row r="332" spans="5:6" x14ac:dyDescent="0.3">
      <c r="E332" s="14" t="s">
        <v>324</v>
      </c>
      <c r="F332" s="12">
        <v>0</v>
      </c>
    </row>
    <row r="333" spans="5:6" x14ac:dyDescent="0.3">
      <c r="E333" s="14" t="s">
        <v>248</v>
      </c>
      <c r="F333" s="12">
        <v>0</v>
      </c>
    </row>
    <row r="334" spans="5:6" x14ac:dyDescent="0.3">
      <c r="E334" s="14" t="s">
        <v>165</v>
      </c>
      <c r="F334" s="12">
        <v>0</v>
      </c>
    </row>
    <row r="335" spans="5:6" x14ac:dyDescent="0.3">
      <c r="E335" s="14" t="s">
        <v>371</v>
      </c>
      <c r="F335" s="12">
        <v>0</v>
      </c>
    </row>
    <row r="336" spans="5:6" x14ac:dyDescent="0.3">
      <c r="E336" s="14" t="s">
        <v>221</v>
      </c>
      <c r="F336" s="12">
        <v>0</v>
      </c>
    </row>
    <row r="337" spans="5:6" x14ac:dyDescent="0.3">
      <c r="E337" s="14" t="s">
        <v>170</v>
      </c>
      <c r="F337" s="12">
        <v>32</v>
      </c>
    </row>
    <row r="338" spans="5:6" x14ac:dyDescent="0.3">
      <c r="E338" s="14" t="s">
        <v>82</v>
      </c>
      <c r="F338" s="12">
        <v>13</v>
      </c>
    </row>
    <row r="339" spans="5:6" x14ac:dyDescent="0.3">
      <c r="E339" s="14" t="s">
        <v>229</v>
      </c>
      <c r="F339" s="12">
        <v>12144</v>
      </c>
    </row>
    <row r="340" spans="5:6" x14ac:dyDescent="0.3">
      <c r="E340" s="14" t="s">
        <v>150</v>
      </c>
      <c r="F340" s="12">
        <v>0</v>
      </c>
    </row>
    <row r="341" spans="5:6" x14ac:dyDescent="0.3">
      <c r="E341" s="14" t="s">
        <v>247</v>
      </c>
      <c r="F341" s="12">
        <v>595</v>
      </c>
    </row>
    <row r="342" spans="5:6" x14ac:dyDescent="0.3">
      <c r="E342" s="14" t="s">
        <v>291</v>
      </c>
      <c r="F342" s="12">
        <v>5067</v>
      </c>
    </row>
    <row r="343" spans="5:6" x14ac:dyDescent="0.3">
      <c r="E343" s="14" t="s">
        <v>355</v>
      </c>
      <c r="F343" s="12">
        <v>0</v>
      </c>
    </row>
    <row r="344" spans="5:6" x14ac:dyDescent="0.3">
      <c r="E344" s="14" t="s">
        <v>184</v>
      </c>
      <c r="F344" s="12">
        <v>2638</v>
      </c>
    </row>
    <row r="345" spans="5:6" x14ac:dyDescent="0.3">
      <c r="E345" s="14" t="s">
        <v>59</v>
      </c>
      <c r="F345" s="12">
        <v>0</v>
      </c>
    </row>
    <row r="346" spans="5:6" x14ac:dyDescent="0.3">
      <c r="E346" s="14" t="s">
        <v>29</v>
      </c>
      <c r="F346" s="12">
        <v>0</v>
      </c>
    </row>
    <row r="347" spans="5:6" x14ac:dyDescent="0.3">
      <c r="E347" s="14" t="s">
        <v>113</v>
      </c>
      <c r="F347" s="12">
        <v>2366</v>
      </c>
    </row>
    <row r="348" spans="5:6" x14ac:dyDescent="0.3">
      <c r="E348" s="14" t="s">
        <v>118</v>
      </c>
      <c r="F348" s="12">
        <v>311</v>
      </c>
    </row>
    <row r="349" spans="5:6" x14ac:dyDescent="0.3">
      <c r="E349" s="14" t="s">
        <v>158</v>
      </c>
      <c r="F349" s="12">
        <v>0</v>
      </c>
    </row>
    <row r="350" spans="5:6" x14ac:dyDescent="0.3">
      <c r="E350" s="14" t="s">
        <v>360</v>
      </c>
      <c r="F350" s="12">
        <v>462</v>
      </c>
    </row>
    <row r="351" spans="5:6" x14ac:dyDescent="0.3">
      <c r="E351" s="14" t="s">
        <v>321</v>
      </c>
      <c r="F351" s="12">
        <v>0</v>
      </c>
    </row>
    <row r="352" spans="5:6" x14ac:dyDescent="0.3">
      <c r="E352" s="14" t="s">
        <v>76</v>
      </c>
      <c r="F352" s="12">
        <v>3163</v>
      </c>
    </row>
    <row r="353" spans="5:6" x14ac:dyDescent="0.3">
      <c r="E353" s="14" t="s">
        <v>300</v>
      </c>
      <c r="F353" s="12">
        <v>0</v>
      </c>
    </row>
    <row r="354" spans="5:6" x14ac:dyDescent="0.3">
      <c r="E354" s="14" t="s">
        <v>227</v>
      </c>
      <c r="F354" s="12">
        <v>1230</v>
      </c>
    </row>
    <row r="355" spans="5:6" x14ac:dyDescent="0.3">
      <c r="E355" s="14" t="s">
        <v>90</v>
      </c>
      <c r="F355" s="12">
        <v>0</v>
      </c>
    </row>
    <row r="356" spans="5:6" x14ac:dyDescent="0.3">
      <c r="E356" s="14" t="s">
        <v>428</v>
      </c>
      <c r="F356" s="12">
        <v>320405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07E45B8-6190-4C3B-BFC4-39460F2D5FC5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F6B50759-5D39-48F6-B558-EF76BDEBF164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7DEA818A-56DF-40A6-85E2-AAF953CBB14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200F1A7-6642-4488-9607-B2F4EE8E3DC7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352FD09D-3777-4644-87AE-1F8A1B8DA6CD}">
  <ds:schemaRefs/>
</ds:datastoreItem>
</file>

<file path=customXml/itemProps6.xml><?xml version="1.0" encoding="utf-8"?>
<ds:datastoreItem xmlns:ds="http://schemas.openxmlformats.org/officeDocument/2006/customXml" ds:itemID="{411FD4A6-C825-4484-AE95-0E1FB465DC7D}">
  <ds:schemaRefs/>
</ds:datastoreItem>
</file>

<file path=customXml/itemProps7.xml><?xml version="1.0" encoding="utf-8"?>
<ds:datastoreItem xmlns:ds="http://schemas.openxmlformats.org/officeDocument/2006/customXml" ds:itemID="{6BA2F207-85D4-47B4-9B4C-B55321983C68}">
  <ds:schemaRefs/>
</ds:datastoreItem>
</file>

<file path=customXml/itemProps8.xml><?xml version="1.0" encoding="utf-8"?>
<ds:datastoreItem xmlns:ds="http://schemas.openxmlformats.org/officeDocument/2006/customXml" ds:itemID="{5B124380-A941-4D27-8635-086E280AF172}">
  <ds:schemaRefs/>
</ds:datastoreItem>
</file>

<file path=customXml/itemProps9.xml><?xml version="1.0" encoding="utf-8"?>
<ds:datastoreItem xmlns:ds="http://schemas.openxmlformats.org/officeDocument/2006/customXml" ds:itemID="{A2B93A20-2DDD-4B15-AE78-B076DE94F62B}">
  <ds:schemaRefs/>
</ds:datastoreItem>
</file>

<file path=customXml/itemProps10.xml><?xml version="1.0" encoding="utf-8"?>
<ds:datastoreItem xmlns:ds="http://schemas.openxmlformats.org/officeDocument/2006/customXml" ds:itemID="{E280CECF-02D8-4E2E-B3FA-283951D1DD1D}">
  <ds:schemaRefs/>
</ds:datastoreItem>
</file>

<file path=customXml/itemProps11.xml><?xml version="1.0" encoding="utf-8"?>
<ds:datastoreItem xmlns:ds="http://schemas.openxmlformats.org/officeDocument/2006/customXml" ds:itemID="{0DFC978E-47B3-4CCD-96F0-4F4431DBEE84}">
  <ds:schemaRefs/>
</ds:datastoreItem>
</file>

<file path=customXml/itemProps12.xml><?xml version="1.0" encoding="utf-8"?>
<ds:datastoreItem xmlns:ds="http://schemas.openxmlformats.org/officeDocument/2006/customXml" ds:itemID="{BFC36D52-4040-45A0-89AF-81FF3D48B618}">
  <ds:schemaRefs/>
</ds:datastoreItem>
</file>

<file path=customXml/itemProps13.xml><?xml version="1.0" encoding="utf-8"?>
<ds:datastoreItem xmlns:ds="http://schemas.openxmlformats.org/officeDocument/2006/customXml" ds:itemID="{2FB21E46-6ED2-4221-BE15-C10DCC5E68D0}">
  <ds:schemaRefs/>
</ds:datastoreItem>
</file>

<file path=customXml/itemProps14.xml><?xml version="1.0" encoding="utf-8"?>
<ds:datastoreItem xmlns:ds="http://schemas.openxmlformats.org/officeDocument/2006/customXml" ds:itemID="{8AD0BFC2-7564-43C6-961C-A87354CFF4E8}">
  <ds:schemaRefs/>
</ds:datastoreItem>
</file>

<file path=customXml/itemProps15.xml><?xml version="1.0" encoding="utf-8"?>
<ds:datastoreItem xmlns:ds="http://schemas.openxmlformats.org/officeDocument/2006/customXml" ds:itemID="{B2964290-AAF9-4801-B66D-7D53A2D62CC7}">
  <ds:schemaRefs/>
</ds:datastoreItem>
</file>

<file path=customXml/itemProps16.xml><?xml version="1.0" encoding="utf-8"?>
<ds:datastoreItem xmlns:ds="http://schemas.openxmlformats.org/officeDocument/2006/customXml" ds:itemID="{32A6AF52-2484-4172-8BBA-B0A4330CF4E1}">
  <ds:schemaRefs/>
</ds:datastoreItem>
</file>

<file path=customXml/itemProps17.xml><?xml version="1.0" encoding="utf-8"?>
<ds:datastoreItem xmlns:ds="http://schemas.openxmlformats.org/officeDocument/2006/customXml" ds:itemID="{5C6A4FFD-9395-44FD-8855-AEFFFE579152}">
  <ds:schemaRefs/>
</ds:datastoreItem>
</file>

<file path=customXml/itemProps18.xml><?xml version="1.0" encoding="utf-8"?>
<ds:datastoreItem xmlns:ds="http://schemas.openxmlformats.org/officeDocument/2006/customXml" ds:itemID="{58E48B3C-E5D9-4999-A30B-51791B0CEF12}">
  <ds:schemaRefs/>
</ds:datastoreItem>
</file>

<file path=customXml/itemProps19.xml><?xml version="1.0" encoding="utf-8"?>
<ds:datastoreItem xmlns:ds="http://schemas.openxmlformats.org/officeDocument/2006/customXml" ds:itemID="{06995356-08FD-4EF2-9542-475896EEB81E}">
  <ds:schemaRefs/>
</ds:datastoreItem>
</file>

<file path=customXml/itemProps20.xml><?xml version="1.0" encoding="utf-8"?>
<ds:datastoreItem xmlns:ds="http://schemas.openxmlformats.org/officeDocument/2006/customXml" ds:itemID="{1380B643-8274-4B16-8DF3-416A0D9F5889}">
  <ds:schemaRefs/>
</ds:datastoreItem>
</file>

<file path=customXml/itemProps21.xml><?xml version="1.0" encoding="utf-8"?>
<ds:datastoreItem xmlns:ds="http://schemas.openxmlformats.org/officeDocument/2006/customXml" ds:itemID="{E9A57D24-DCB6-4735-A9DA-BC87B18A639C}">
  <ds:schemaRefs/>
</ds:datastoreItem>
</file>

<file path=customXml/itemProps22.xml><?xml version="1.0" encoding="utf-8"?>
<ds:datastoreItem xmlns:ds="http://schemas.openxmlformats.org/officeDocument/2006/customXml" ds:itemID="{B91CC170-810E-43C9-9929-39242B6D10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Population-group  Wise Deposits</vt:lpstr>
      <vt:lpstr>State_DIM</vt:lpstr>
      <vt:lpstr>District_DIM</vt:lpstr>
      <vt:lpstr>Analysis Toolpak</vt:lpstr>
      <vt:lpstr>Descriptive_Statistics</vt:lpstr>
      <vt:lpstr>Pivot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Sahana .</dc:creator>
  <cp:keywords/>
  <dc:description/>
  <cp:lastModifiedBy>Sahana .</cp:lastModifiedBy>
  <cp:revision/>
  <dcterms:created xsi:type="dcterms:W3CDTF">2026-02-18T08:48:24Z</dcterms:created>
  <dcterms:modified xsi:type="dcterms:W3CDTF">2026-02-27T04:01:30Z</dcterms:modified>
  <cp:category/>
  <cp:contentStatus/>
</cp:coreProperties>
</file>